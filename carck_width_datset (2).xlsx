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onry\"/>
    </mc:Choice>
  </mc:AlternateContent>
  <xr:revisionPtr revIDLastSave="0" documentId="8_{20A141EF-AE88-42D2-BEF8-D52AC0081113}" xr6:coauthVersionLast="47" xr6:coauthVersionMax="47" xr10:uidLastSave="{00000000-0000-0000-0000-000000000000}"/>
  <bookViews>
    <workbookView xWindow="-108" yWindow="-108" windowWidth="23256" windowHeight="12456" xr2:uid="{13DD5328-5A37-4715-8F36-641F09BCB8CD}"/>
  </bookViews>
  <sheets>
    <sheet name="Sheet1" sheetId="1" r:id="rId1"/>
    <sheet name="Data1" sheetId="4" r:id="rId2"/>
    <sheet name="Dat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2" i="2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2" i="4"/>
  <c r="J177" i="2"/>
  <c r="K177" i="2" s="1"/>
  <c r="J178" i="2"/>
  <c r="K178" i="2" s="1"/>
  <c r="J179" i="2"/>
  <c r="K179" i="2" s="1"/>
  <c r="J180" i="2"/>
  <c r="K180" i="2"/>
  <c r="J181" i="2"/>
  <c r="K181" i="2"/>
  <c r="J182" i="2"/>
  <c r="K182" i="2" s="1"/>
  <c r="J164" i="2"/>
  <c r="K164" i="2" s="1"/>
  <c r="J165" i="2"/>
  <c r="K165" i="2" s="1"/>
  <c r="J166" i="2"/>
  <c r="K166" i="2" s="1"/>
  <c r="J167" i="2"/>
  <c r="K167" i="2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/>
  <c r="J174" i="2"/>
  <c r="K174" i="2"/>
  <c r="J175" i="2"/>
  <c r="K175" i="2" s="1"/>
  <c r="J176" i="2"/>
  <c r="K176" i="2" s="1"/>
  <c r="J163" i="2"/>
  <c r="K163" i="2" s="1"/>
  <c r="K98" i="2"/>
  <c r="K99" i="2"/>
  <c r="K100" i="2"/>
  <c r="K110" i="2"/>
  <c r="K111" i="2"/>
  <c r="K112" i="2"/>
  <c r="K122" i="2"/>
  <c r="K123" i="2"/>
  <c r="K124" i="2"/>
  <c r="K134" i="2"/>
  <c r="K135" i="2"/>
  <c r="K136" i="2"/>
  <c r="K146" i="2"/>
  <c r="K147" i="2"/>
  <c r="K148" i="2"/>
  <c r="K158" i="2"/>
  <c r="K159" i="2"/>
  <c r="K160" i="2"/>
  <c r="J96" i="2"/>
  <c r="K96" i="2" s="1"/>
  <c r="J97" i="2"/>
  <c r="K97" i="2" s="1"/>
  <c r="J98" i="2"/>
  <c r="J99" i="2"/>
  <c r="J100" i="2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J111" i="2"/>
  <c r="J112" i="2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J123" i="2"/>
  <c r="J124" i="2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J135" i="2"/>
  <c r="J136" i="2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J147" i="2"/>
  <c r="J148" i="2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J159" i="2"/>
  <c r="J160" i="2"/>
  <c r="J161" i="2"/>
  <c r="K161" i="2" s="1"/>
  <c r="J162" i="2"/>
  <c r="K162" i="2" s="1"/>
  <c r="J95" i="2"/>
  <c r="K95" i="2" s="1"/>
  <c r="J94" i="2"/>
  <c r="K94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/>
  <c r="J10" i="2"/>
  <c r="K10" i="2" s="1"/>
  <c r="J11" i="2"/>
  <c r="K11" i="2"/>
  <c r="J12" i="2"/>
  <c r="K12" i="2"/>
  <c r="J13" i="2"/>
  <c r="K13" i="2"/>
  <c r="J14" i="2"/>
  <c r="K14" i="2" s="1"/>
  <c r="J15" i="2"/>
  <c r="K15" i="2"/>
  <c r="J16" i="2"/>
  <c r="K16" i="2"/>
  <c r="J17" i="2"/>
  <c r="K17" i="2" s="1"/>
  <c r="J18" i="2"/>
  <c r="K18" i="2" s="1"/>
  <c r="J19" i="2"/>
  <c r="K19" i="2" s="1"/>
  <c r="J20" i="2"/>
  <c r="K20" i="2" s="1"/>
  <c r="J21" i="2"/>
  <c r="K21" i="2"/>
  <c r="J22" i="2"/>
  <c r="K22" i="2"/>
  <c r="J23" i="2"/>
  <c r="K23" i="2" s="1"/>
  <c r="J24" i="2"/>
  <c r="K24" i="2" s="1"/>
  <c r="J25" i="2"/>
  <c r="K25" i="2"/>
  <c r="J26" i="2"/>
  <c r="K26" i="2" s="1"/>
  <c r="J27" i="2"/>
  <c r="K27" i="2" s="1"/>
  <c r="J28" i="2"/>
  <c r="K28" i="2"/>
  <c r="J29" i="2"/>
  <c r="K29" i="2"/>
  <c r="J30" i="2"/>
  <c r="K30" i="2" s="1"/>
  <c r="J31" i="2"/>
  <c r="K31" i="2"/>
  <c r="J32" i="2"/>
  <c r="K32" i="2" s="1"/>
  <c r="J33" i="2"/>
  <c r="K33" i="2"/>
  <c r="J34" i="2"/>
  <c r="K34" i="2"/>
  <c r="J35" i="2"/>
  <c r="K35" i="2"/>
  <c r="J36" i="2"/>
  <c r="K36" i="2" s="1"/>
  <c r="J37" i="2"/>
  <c r="K37" i="2"/>
  <c r="J38" i="2"/>
  <c r="K38" i="2" s="1"/>
  <c r="J39" i="2"/>
  <c r="K39" i="2" s="1"/>
  <c r="J40" i="2"/>
  <c r="K40" i="2" s="1"/>
  <c r="J41" i="2"/>
  <c r="K41" i="2"/>
  <c r="J42" i="2"/>
  <c r="K42" i="2"/>
  <c r="J43" i="2"/>
  <c r="K43" i="2" s="1"/>
  <c r="J44" i="2"/>
  <c r="K44" i="2" s="1"/>
  <c r="J45" i="2"/>
  <c r="K45" i="2"/>
  <c r="J46" i="2"/>
  <c r="K46" i="2"/>
  <c r="J47" i="2"/>
  <c r="K47" i="2"/>
  <c r="J48" i="2"/>
  <c r="K48" i="2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/>
  <c r="J55" i="2"/>
  <c r="K55" i="2"/>
  <c r="J56" i="2"/>
  <c r="K56" i="2" s="1"/>
  <c r="J57" i="2"/>
  <c r="K57" i="2"/>
  <c r="J58" i="2"/>
  <c r="K58" i="2"/>
  <c r="J59" i="2"/>
  <c r="K59" i="2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/>
  <c r="J68" i="2"/>
  <c r="K68" i="2" s="1"/>
  <c r="J69" i="2"/>
  <c r="K69" i="2" s="1"/>
  <c r="J70" i="2"/>
  <c r="K70" i="2" s="1"/>
  <c r="J71" i="2"/>
  <c r="K71" i="2"/>
  <c r="J72" i="2"/>
  <c r="K72" i="2"/>
  <c r="J73" i="2"/>
  <c r="K73" i="2" s="1"/>
  <c r="J74" i="2"/>
  <c r="K74" i="2" s="1"/>
  <c r="J75" i="2"/>
  <c r="K75" i="2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/>
  <c r="J85" i="2"/>
  <c r="K85" i="2"/>
  <c r="J86" i="2"/>
  <c r="K86" i="2" s="1"/>
  <c r="J87" i="2"/>
  <c r="K87" i="2"/>
  <c r="J88" i="2"/>
  <c r="K88" i="2"/>
  <c r="J89" i="2"/>
  <c r="K89" i="2" s="1"/>
  <c r="J90" i="2"/>
  <c r="K90" i="2"/>
  <c r="J91" i="2"/>
  <c r="K91" i="2" s="1"/>
  <c r="J92" i="2"/>
  <c r="K92" i="2" s="1"/>
  <c r="J93" i="2"/>
  <c r="K93" i="2" s="1"/>
  <c r="J2" i="2"/>
  <c r="K2" i="2" s="1"/>
  <c r="K502" i="4"/>
  <c r="K503" i="4"/>
  <c r="K504" i="4"/>
  <c r="K505" i="4"/>
  <c r="K506" i="4"/>
  <c r="K507" i="4"/>
  <c r="K508" i="4"/>
  <c r="K509" i="4"/>
  <c r="J502" i="4"/>
  <c r="J503" i="4"/>
  <c r="J504" i="4"/>
  <c r="J505" i="4"/>
  <c r="J506" i="4"/>
  <c r="J507" i="4"/>
  <c r="J508" i="4"/>
  <c r="J509" i="4"/>
  <c r="J501" i="4"/>
  <c r="K501" i="4" s="1"/>
  <c r="J489" i="4"/>
  <c r="J490" i="4"/>
  <c r="J491" i="4"/>
  <c r="J492" i="4"/>
  <c r="K492" i="4" s="1"/>
  <c r="J493" i="4"/>
  <c r="J494" i="4"/>
  <c r="J495" i="4"/>
  <c r="J496" i="4"/>
  <c r="J497" i="4"/>
  <c r="J498" i="4"/>
  <c r="K498" i="4" s="1"/>
  <c r="J499" i="4"/>
  <c r="J500" i="4"/>
  <c r="K489" i="4"/>
  <c r="K490" i="4"/>
  <c r="K491" i="4"/>
  <c r="K493" i="4"/>
  <c r="K494" i="4"/>
  <c r="K495" i="4"/>
  <c r="K496" i="4"/>
  <c r="K497" i="4"/>
  <c r="K499" i="4"/>
  <c r="K500" i="4"/>
  <c r="J483" i="4" l="1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77" i="4" l="1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396" i="4" l="1"/>
  <c r="J397" i="4"/>
  <c r="J398" i="4"/>
  <c r="J399" i="4"/>
  <c r="J400" i="4"/>
  <c r="K400" i="4" s="1"/>
  <c r="J401" i="4"/>
  <c r="K401" i="4" s="1"/>
  <c r="J402" i="4"/>
  <c r="J403" i="4"/>
  <c r="K403" i="4" s="1"/>
  <c r="J404" i="4"/>
  <c r="K404" i="4" s="1"/>
  <c r="K398" i="4"/>
  <c r="K399" i="4"/>
  <c r="K402" i="4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J442" i="4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K396" i="4"/>
  <c r="K397" i="4"/>
  <c r="K429" i="4"/>
  <c r="K441" i="4"/>
  <c r="K442" i="4"/>
  <c r="J2" i="4"/>
  <c r="K2" i="4" s="1"/>
  <c r="C464" i="4" l="1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O411" i="1" l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10" i="1"/>
  <c r="V450" i="1" l="1"/>
  <c r="V451" i="1"/>
  <c r="V452" i="1"/>
  <c r="V453" i="1"/>
  <c r="V454" i="1"/>
  <c r="V455" i="1"/>
  <c r="V456" i="1"/>
  <c r="V457" i="1"/>
  <c r="V458" i="1"/>
  <c r="V459" i="1"/>
  <c r="V449" i="1"/>
  <c r="U450" i="1"/>
  <c r="U451" i="1"/>
  <c r="U452" i="1"/>
  <c r="U453" i="1"/>
  <c r="U454" i="1"/>
  <c r="U455" i="1"/>
  <c r="U456" i="1"/>
  <c r="U457" i="1"/>
  <c r="U458" i="1"/>
  <c r="U459" i="1"/>
  <c r="U449" i="1"/>
  <c r="Q449" i="1"/>
  <c r="Q450" i="1"/>
  <c r="Q451" i="1"/>
  <c r="Q452" i="1"/>
  <c r="Q453" i="1"/>
  <c r="Q454" i="1"/>
  <c r="Q455" i="1"/>
  <c r="Q456" i="1"/>
  <c r="Q457" i="1"/>
  <c r="Q458" i="1"/>
  <c r="Q459" i="1"/>
  <c r="G448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2" i="1" l="1"/>
  <c r="R463" i="1" l="1"/>
</calcChain>
</file>

<file path=xl/sharedStrings.xml><?xml version="1.0" encoding="utf-8"?>
<sst xmlns="http://schemas.openxmlformats.org/spreadsheetml/2006/main" count="1023" uniqueCount="46">
  <si>
    <t>SPECIMEN</t>
  </si>
  <si>
    <t>FCK(mpa)</t>
  </si>
  <si>
    <t xml:space="preserve">NO OF BARS </t>
  </si>
  <si>
    <t>B(mm)</t>
  </si>
  <si>
    <t>DIA(MM)</t>
  </si>
  <si>
    <t>RATIO</t>
  </si>
  <si>
    <t>D(mm)</t>
  </si>
  <si>
    <t>COVER DEPTH(MM)</t>
  </si>
  <si>
    <t>MAX WIDTH(mm)</t>
  </si>
  <si>
    <t>type</t>
  </si>
  <si>
    <t>F</t>
  </si>
  <si>
    <t>T</t>
  </si>
  <si>
    <t>gergely and lutz</t>
  </si>
  <si>
    <t>frosch</t>
  </si>
  <si>
    <t>oh nd kang</t>
  </si>
  <si>
    <t>makhlouf and malhas</t>
  </si>
  <si>
    <t>oh and kang</t>
  </si>
  <si>
    <t>j62-67</t>
  </si>
  <si>
    <t>C$CA</t>
  </si>
  <si>
    <t>rutergs</t>
  </si>
  <si>
    <t>kaar mattock</t>
  </si>
  <si>
    <t>hognestad</t>
  </si>
  <si>
    <t>j54-48</t>
  </si>
  <si>
    <t>j52-54</t>
  </si>
  <si>
    <t>bar space</t>
  </si>
  <si>
    <t>FS</t>
  </si>
  <si>
    <t>CLARKS</t>
  </si>
  <si>
    <t xml:space="preserve"> KIRSTEN</t>
  </si>
  <si>
    <t>kang</t>
  </si>
  <si>
    <t>lutz</t>
  </si>
  <si>
    <t>broms</t>
  </si>
  <si>
    <t>makhlouf</t>
  </si>
  <si>
    <t>rho</t>
  </si>
  <si>
    <t>AST</t>
  </si>
  <si>
    <t>Deff</t>
  </si>
  <si>
    <t>kaar</t>
  </si>
  <si>
    <t>PEREZ</t>
  </si>
  <si>
    <t xml:space="preserve">CUR </t>
  </si>
  <si>
    <t>CLARK NEW</t>
  </si>
  <si>
    <t>cur</t>
  </si>
  <si>
    <t>RUSCH</t>
  </si>
  <si>
    <t>GARCIA</t>
  </si>
  <si>
    <t>GRIBNIAK</t>
  </si>
  <si>
    <t>GILBERT</t>
  </si>
  <si>
    <t>rho total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</si>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</sst>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Bahnschrift Light Condensed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Bahnschrift Light Condensed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37">
    <xf numFmtId="0" fontId="0" fillId="0" borderId="0" xfId="0"/>
    <xf numFmtId="1" fontId="0" fillId="3" borderId="1" xfId="0" applyNumberFormat="1" applyFill="1" applyBorder="1"/>
    <xf numFmtId="2" fontId="0" fillId="3" borderId="1" xfId="0" applyNumberFormat="1" applyFill="1" applyBorder="1"/>
    <xf numFmtId="0" fontId="0" fillId="3" borderId="1" xfId="0" applyFill="1" applyBorder="1"/>
    <xf numFmtId="2" fontId="0" fillId="4" borderId="1" xfId="0" applyNumberFormat="1" applyFill="1" applyBorder="1"/>
    <xf numFmtId="164" fontId="3" fillId="4" borderId="1" xfId="1" applyNumberFormat="1" applyFill="1" applyBorder="1"/>
    <xf numFmtId="0" fontId="0" fillId="4" borderId="1" xfId="0" applyFill="1" applyBorder="1"/>
    <xf numFmtId="164" fontId="3" fillId="3" borderId="1" xfId="1" applyNumberFormat="1" applyFill="1" applyBorder="1"/>
    <xf numFmtId="164" fontId="6" fillId="3" borderId="1" xfId="1" applyNumberFormat="1" applyFont="1" applyFill="1" applyBorder="1"/>
    <xf numFmtId="0" fontId="1" fillId="0" borderId="1" xfId="3" applyBorder="1"/>
    <xf numFmtId="0" fontId="1" fillId="3" borderId="1" xfId="3" applyFill="1" applyBorder="1"/>
    <xf numFmtId="0" fontId="0" fillId="3" borderId="0" xfId="0" applyFill="1"/>
    <xf numFmtId="0" fontId="0" fillId="2" borderId="1" xfId="0" applyFill="1" applyBorder="1"/>
    <xf numFmtId="164" fontId="0" fillId="3" borderId="1" xfId="0" applyNumberFormat="1" applyFill="1" applyBorder="1"/>
    <xf numFmtId="164" fontId="5" fillId="3" borderId="1" xfId="0" applyNumberFormat="1" applyFont="1" applyFill="1" applyBorder="1"/>
    <xf numFmtId="164" fontId="1" fillId="3" borderId="1" xfId="3" applyNumberFormat="1" applyFill="1" applyBorder="1"/>
    <xf numFmtId="1" fontId="1" fillId="3" borderId="1" xfId="3" applyNumberFormat="1" applyFill="1" applyBorder="1"/>
    <xf numFmtId="0" fontId="10" fillId="5" borderId="1" xfId="0" applyFont="1" applyFill="1" applyBorder="1"/>
    <xf numFmtId="0" fontId="0" fillId="4" borderId="0" xfId="0" applyFill="1"/>
    <xf numFmtId="1" fontId="8" fillId="3" borderId="1" xfId="0" applyNumberFormat="1" applyFont="1" applyFill="1" applyBorder="1"/>
    <xf numFmtId="164" fontId="8" fillId="3" borderId="1" xfId="0" applyNumberFormat="1" applyFont="1" applyFill="1" applyBorder="1"/>
    <xf numFmtId="164" fontId="9" fillId="3" borderId="1" xfId="0" applyNumberFormat="1" applyFont="1" applyFill="1" applyBorder="1"/>
    <xf numFmtId="0" fontId="8" fillId="3" borderId="1" xfId="0" applyFont="1" applyFill="1" applyBorder="1"/>
    <xf numFmtId="0" fontId="10" fillId="3" borderId="1" xfId="0" applyFont="1" applyFill="1" applyBorder="1"/>
    <xf numFmtId="2" fontId="2" fillId="3" borderId="1" xfId="0" applyNumberFormat="1" applyFont="1" applyFill="1" applyBorder="1"/>
    <xf numFmtId="2" fontId="5" fillId="3" borderId="1" xfId="0" applyNumberFormat="1" applyFont="1" applyFill="1" applyBorder="1"/>
    <xf numFmtId="0" fontId="4" fillId="3" borderId="1" xfId="2" applyFill="1" applyBorder="1"/>
    <xf numFmtId="2" fontId="0" fillId="0" borderId="0" xfId="0" applyNumberFormat="1"/>
    <xf numFmtId="1" fontId="0" fillId="4" borderId="1" xfId="0" applyNumberFormat="1" applyFill="1" applyBorder="1"/>
    <xf numFmtId="164" fontId="0" fillId="4" borderId="1" xfId="0" applyNumberFormat="1" applyFill="1" applyBorder="1"/>
    <xf numFmtId="1" fontId="0" fillId="6" borderId="1" xfId="0" applyNumberFormat="1" applyFill="1" applyBorder="1"/>
    <xf numFmtId="164" fontId="0" fillId="6" borderId="1" xfId="0" applyNumberFormat="1" applyFill="1" applyBorder="1"/>
    <xf numFmtId="2" fontId="0" fillId="6" borderId="1" xfId="0" applyNumberFormat="1" applyFill="1" applyBorder="1"/>
    <xf numFmtId="164" fontId="3" fillId="6" borderId="1" xfId="1" applyNumberFormat="1" applyFill="1" applyBorder="1"/>
    <xf numFmtId="0" fontId="0" fillId="6" borderId="1" xfId="0" applyFill="1" applyBorder="1"/>
    <xf numFmtId="1" fontId="12" fillId="3" borderId="1" xfId="0" applyNumberFormat="1" applyFont="1" applyFill="1" applyBorder="1"/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3" fillId="11" borderId="1" xfId="0" applyNumberFormat="1" applyFont="1" applyFill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15" fillId="10" borderId="1" xfId="0" applyNumberFormat="1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11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" fontId="8" fillId="13" borderId="1" xfId="0" applyNumberFormat="1" applyFont="1" applyFill="1" applyBorder="1"/>
    <xf numFmtId="164" fontId="8" fillId="13" borderId="1" xfId="0" applyNumberFormat="1" applyFont="1" applyFill="1" applyBorder="1"/>
    <xf numFmtId="2" fontId="2" fillId="13" borderId="1" xfId="0" applyNumberFormat="1" applyFont="1" applyFill="1" applyBorder="1"/>
    <xf numFmtId="164" fontId="9" fillId="13" borderId="1" xfId="0" applyNumberFormat="1" applyFont="1" applyFill="1" applyBorder="1"/>
    <xf numFmtId="0" fontId="8" fillId="13" borderId="1" xfId="0" applyFont="1" applyFill="1" applyBorder="1"/>
    <xf numFmtId="0" fontId="10" fillId="13" borderId="1" xfId="0" applyFont="1" applyFill="1" applyBorder="1"/>
    <xf numFmtId="0" fontId="0" fillId="13" borderId="1" xfId="0" applyFill="1" applyBorder="1" applyAlignment="1">
      <alignment horizontal="center" vertical="center"/>
    </xf>
    <xf numFmtId="2" fontId="13" fillId="13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3" applyFill="1" applyBorder="1" applyAlignment="1">
      <alignment horizontal="center" vertical="center"/>
    </xf>
    <xf numFmtId="164" fontId="13" fillId="7" borderId="0" xfId="0" applyNumberFormat="1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1" xfId="1" applyNumberFormat="1" applyBorder="1"/>
    <xf numFmtId="2" fontId="0" fillId="0" borderId="1" xfId="0" applyNumberFormat="1" applyBorder="1"/>
    <xf numFmtId="164" fontId="0" fillId="0" borderId="1" xfId="0" applyNumberFormat="1" applyBorder="1"/>
    <xf numFmtId="164" fontId="3" fillId="0" borderId="1" xfId="1" applyNumberFormat="1" applyBorder="1"/>
    <xf numFmtId="0" fontId="0" fillId="0" borderId="1" xfId="0" applyBorder="1"/>
    <xf numFmtId="2" fontId="6" fillId="0" borderId="1" xfId="1" applyNumberFormat="1" applyFont="1" applyBorder="1"/>
    <xf numFmtId="164" fontId="6" fillId="0" borderId="1" xfId="1" applyNumberFormat="1" applyFont="1" applyBorder="1"/>
    <xf numFmtId="2" fontId="5" fillId="0" borderId="1" xfId="0" applyNumberFormat="1" applyFont="1" applyBorder="1"/>
    <xf numFmtId="0" fontId="4" fillId="0" borderId="1" xfId="2" applyBorder="1"/>
    <xf numFmtId="164" fontId="1" fillId="0" borderId="1" xfId="3" applyNumberFormat="1" applyBorder="1"/>
    <xf numFmtId="2" fontId="19" fillId="9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2" fontId="19" fillId="9" borderId="7" xfId="0" applyNumberFormat="1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0" fontId="20" fillId="15" borderId="10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2" fontId="20" fillId="15" borderId="10" xfId="0" applyNumberFormat="1" applyFont="1" applyFill="1" applyBorder="1" applyAlignment="1">
      <alignment horizontal="center" vertical="center"/>
    </xf>
    <xf numFmtId="2" fontId="20" fillId="15" borderId="11" xfId="0" applyNumberFormat="1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2" fontId="20" fillId="15" borderId="12" xfId="0" applyNumberFormat="1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6" fillId="3" borderId="1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1" fillId="3" borderId="5" xfId="3" applyFill="1" applyBorder="1" applyAlignment="1">
      <alignment horizontal="center"/>
    </xf>
    <xf numFmtId="0" fontId="1" fillId="3" borderId="6" xfId="3" applyFill="1" applyBorder="1" applyAlignment="1">
      <alignment horizontal="center"/>
    </xf>
  </cellXfs>
  <cellStyles count="4">
    <cellStyle name="Normal" xfId="0" builtinId="0"/>
    <cellStyle name="Normal 2" xfId="1" xr:uid="{F0F40F66-25F5-47A3-9883-6C501A059FD6}"/>
    <cellStyle name="Normal 3" xfId="2" xr:uid="{4537277A-7D0E-47D6-AA95-8682183937EB}"/>
    <cellStyle name="Normal 4" xfId="3" xr:uid="{A3F35631-0605-41DD-B15F-D8C2C90385F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A4C2-9BB1-4546-8821-277E85B1AD8F}">
  <dimension ref="A1:V496"/>
  <sheetViews>
    <sheetView tabSelected="1" zoomScale="56" zoomScaleNormal="40" workbookViewId="0">
      <selection activeCell="L3" sqref="L3"/>
    </sheetView>
  </sheetViews>
  <sheetFormatPr defaultRowHeight="14.4" x14ac:dyDescent="0.3"/>
  <cols>
    <col min="1" max="1" width="8.88671875" style="3"/>
    <col min="2" max="3" width="11.44140625" style="13" customWidth="1"/>
    <col min="4" max="4" width="12.21875" style="1" customWidth="1"/>
    <col min="5" max="5" width="10.5546875" style="13" bestFit="1" customWidth="1"/>
    <col min="6" max="6" width="8.88671875" style="3"/>
    <col min="7" max="7" width="10.5546875" style="13" customWidth="1"/>
    <col min="8" max="8" width="12.5546875" style="13" customWidth="1"/>
    <col min="9" max="9" width="8.88671875" style="13"/>
    <col min="10" max="10" width="14.44140625" style="13" customWidth="1"/>
    <col min="11" max="11" width="14" style="13" customWidth="1"/>
    <col min="12" max="16384" width="8.88671875" style="3"/>
  </cols>
  <sheetData>
    <row r="1" spans="1:15" s="17" customFormat="1" ht="21" x14ac:dyDescent="0.4">
      <c r="A1" s="19" t="s">
        <v>0</v>
      </c>
      <c r="B1" s="20" t="s">
        <v>1</v>
      </c>
      <c r="C1" s="20" t="s">
        <v>25</v>
      </c>
      <c r="D1" s="19" t="s">
        <v>2</v>
      </c>
      <c r="E1" s="20" t="s">
        <v>3</v>
      </c>
      <c r="F1" s="24" t="s">
        <v>6</v>
      </c>
      <c r="G1" s="20" t="s">
        <v>24</v>
      </c>
      <c r="H1" s="21" t="s">
        <v>4</v>
      </c>
      <c r="I1" s="20" t="s">
        <v>5</v>
      </c>
      <c r="J1" s="20" t="s">
        <v>7</v>
      </c>
      <c r="K1" s="20" t="s">
        <v>8</v>
      </c>
      <c r="L1" s="22" t="s">
        <v>9</v>
      </c>
      <c r="M1" s="23"/>
    </row>
    <row r="2" spans="1:15" ht="15.6" x14ac:dyDescent="0.3">
      <c r="A2" s="1">
        <v>1</v>
      </c>
      <c r="B2" s="13">
        <v>40.265309780885005</v>
      </c>
      <c r="C2" s="13">
        <v>103.42100000000001</v>
      </c>
      <c r="D2" s="1">
        <v>2</v>
      </c>
      <c r="E2" s="13">
        <v>190.5</v>
      </c>
      <c r="F2" s="2">
        <v>152.39999999999998</v>
      </c>
      <c r="G2" s="13">
        <f t="shared" ref="G2:G65" si="0">(E2-2*J2)/D2</f>
        <v>76.2</v>
      </c>
      <c r="H2" s="13">
        <v>12.7</v>
      </c>
      <c r="I2" s="13">
        <v>1</v>
      </c>
      <c r="J2" s="13">
        <v>19.049999999999997</v>
      </c>
      <c r="K2" s="7">
        <v>2.3113999999999999E-2</v>
      </c>
      <c r="L2" s="3" t="s">
        <v>10</v>
      </c>
      <c r="M2" s="3" t="s">
        <v>22</v>
      </c>
      <c r="N2"/>
    </row>
    <row r="3" spans="1:15" ht="15.6" x14ac:dyDescent="0.3">
      <c r="A3" s="1">
        <v>2</v>
      </c>
      <c r="B3" s="13">
        <v>16.27159778816586</v>
      </c>
      <c r="C3" s="13">
        <v>103.42100000000001</v>
      </c>
      <c r="D3" s="1">
        <v>2</v>
      </c>
      <c r="E3" s="13">
        <v>190.5</v>
      </c>
      <c r="F3" s="2">
        <v>152.39999999999998</v>
      </c>
      <c r="G3" s="13">
        <f t="shared" si="0"/>
        <v>76.2</v>
      </c>
      <c r="H3" s="13">
        <v>12.7</v>
      </c>
      <c r="I3" s="13">
        <v>1</v>
      </c>
      <c r="J3" s="13">
        <v>19.049999999999997</v>
      </c>
      <c r="K3" s="7">
        <v>0</v>
      </c>
      <c r="L3" s="3" t="s">
        <v>10</v>
      </c>
      <c r="M3" s="3" t="s">
        <v>22</v>
      </c>
      <c r="N3"/>
      <c r="O3"/>
    </row>
    <row r="4" spans="1:15" ht="15.6" x14ac:dyDescent="0.3">
      <c r="A4" s="1">
        <v>3</v>
      </c>
      <c r="B4" s="13">
        <v>42.12689088376839</v>
      </c>
      <c r="C4" s="13">
        <v>103.42100000000001</v>
      </c>
      <c r="D4" s="1">
        <v>2</v>
      </c>
      <c r="E4" s="13">
        <v>279.39999999999998</v>
      </c>
      <c r="F4" s="2">
        <v>152.39999999999998</v>
      </c>
      <c r="G4" s="13">
        <f t="shared" si="0"/>
        <v>117.34799999999998</v>
      </c>
      <c r="H4" s="13">
        <v>19.05</v>
      </c>
      <c r="I4" s="13">
        <v>0.94399999999999995</v>
      </c>
      <c r="J4" s="13">
        <v>22.351999999999997</v>
      </c>
      <c r="K4" s="7">
        <v>7.2389999999999996E-2</v>
      </c>
      <c r="L4" s="3" t="s">
        <v>10</v>
      </c>
      <c r="M4" s="3" t="s">
        <v>22</v>
      </c>
      <c r="N4"/>
      <c r="O4"/>
    </row>
    <row r="5" spans="1:15" ht="15.6" x14ac:dyDescent="0.3">
      <c r="A5" s="1">
        <v>4</v>
      </c>
      <c r="B5" s="13">
        <v>14.547911581792357</v>
      </c>
      <c r="C5" s="13">
        <v>103.42100000000001</v>
      </c>
      <c r="D5" s="1">
        <v>2</v>
      </c>
      <c r="E5" s="13">
        <v>279.39999999999998</v>
      </c>
      <c r="F5" s="2">
        <v>152.39999999999998</v>
      </c>
      <c r="G5" s="13">
        <f t="shared" si="0"/>
        <v>117.34799999999998</v>
      </c>
      <c r="H5" s="13">
        <v>19.05</v>
      </c>
      <c r="I5" s="13">
        <v>0.94399999999999995</v>
      </c>
      <c r="J5" s="13">
        <v>22.351999999999997</v>
      </c>
      <c r="K5" s="7">
        <v>9.5249999999999987E-2</v>
      </c>
      <c r="L5" s="3" t="s">
        <v>10</v>
      </c>
      <c r="M5" s="3" t="s">
        <v>22</v>
      </c>
      <c r="N5"/>
      <c r="O5"/>
    </row>
    <row r="6" spans="1:15" ht="15.6" x14ac:dyDescent="0.3">
      <c r="A6" s="1">
        <v>5</v>
      </c>
      <c r="B6" s="13">
        <v>45.712158193025274</v>
      </c>
      <c r="C6" s="13">
        <v>103.42100000000001</v>
      </c>
      <c r="D6" s="1">
        <v>2</v>
      </c>
      <c r="E6" s="13">
        <v>152.39999999999998</v>
      </c>
      <c r="F6" s="2">
        <v>381</v>
      </c>
      <c r="G6" s="13">
        <f t="shared" si="0"/>
        <v>26.924000000000007</v>
      </c>
      <c r="H6" s="13">
        <v>22.25</v>
      </c>
      <c r="I6" s="13">
        <v>0.94799999999999995</v>
      </c>
      <c r="J6" s="13">
        <v>49.275999999999982</v>
      </c>
      <c r="K6" s="7">
        <v>5.2069999999999998E-2</v>
      </c>
      <c r="L6" s="3" t="s">
        <v>10</v>
      </c>
      <c r="M6" s="3" t="s">
        <v>22</v>
      </c>
      <c r="N6"/>
      <c r="O6"/>
    </row>
    <row r="7" spans="1:15" ht="15.6" x14ac:dyDescent="0.3">
      <c r="A7" s="1">
        <v>6</v>
      </c>
      <c r="B7" s="13">
        <v>45.884526813662625</v>
      </c>
      <c r="C7" s="13">
        <v>103.42100000000001</v>
      </c>
      <c r="D7" s="1">
        <v>2</v>
      </c>
      <c r="E7" s="13">
        <v>152.39999999999998</v>
      </c>
      <c r="F7" s="2">
        <v>381</v>
      </c>
      <c r="G7" s="13">
        <f t="shared" si="0"/>
        <v>26.924000000000007</v>
      </c>
      <c r="H7" s="13">
        <v>22.25</v>
      </c>
      <c r="I7" s="13">
        <v>0.94799999999999995</v>
      </c>
      <c r="J7" s="13">
        <v>49.275999999999982</v>
      </c>
      <c r="K7" s="7">
        <v>6.3500000000000001E-2</v>
      </c>
      <c r="L7" s="3" t="s">
        <v>10</v>
      </c>
      <c r="M7" s="3" t="s">
        <v>22</v>
      </c>
      <c r="N7"/>
      <c r="O7"/>
    </row>
    <row r="8" spans="1:15" ht="15.6" x14ac:dyDescent="0.3">
      <c r="A8" s="1">
        <v>7</v>
      </c>
      <c r="B8" s="13">
        <v>17.374756960244898</v>
      </c>
      <c r="C8" s="13">
        <v>103.42100000000001</v>
      </c>
      <c r="D8" s="1">
        <v>2</v>
      </c>
      <c r="E8" s="13">
        <v>152.39999999999998</v>
      </c>
      <c r="F8" s="2">
        <v>381</v>
      </c>
      <c r="G8" s="13">
        <f t="shared" si="0"/>
        <v>26.924000000000007</v>
      </c>
      <c r="H8" s="13">
        <v>22.25</v>
      </c>
      <c r="I8" s="13">
        <v>0.94799999999999995</v>
      </c>
      <c r="J8" s="13">
        <v>49.275999999999982</v>
      </c>
      <c r="K8" s="7">
        <v>8.204199999999999E-2</v>
      </c>
      <c r="L8" s="3" t="s">
        <v>10</v>
      </c>
      <c r="M8" s="3" t="s">
        <v>22</v>
      </c>
      <c r="N8"/>
      <c r="O8"/>
    </row>
    <row r="9" spans="1:15" ht="15.6" x14ac:dyDescent="0.3">
      <c r="A9" s="1">
        <v>8</v>
      </c>
      <c r="B9" s="13">
        <v>14.685806478302236</v>
      </c>
      <c r="C9" s="13">
        <v>103.42100000000001</v>
      </c>
      <c r="D9" s="1">
        <v>2</v>
      </c>
      <c r="E9" s="13">
        <v>152.39999999999998</v>
      </c>
      <c r="F9" s="2">
        <v>381</v>
      </c>
      <c r="G9" s="13">
        <f t="shared" si="0"/>
        <v>26.924000000000007</v>
      </c>
      <c r="H9" s="13">
        <v>22.25</v>
      </c>
      <c r="I9" s="13">
        <v>0.94799999999999995</v>
      </c>
      <c r="J9" s="13">
        <v>49.275999999999982</v>
      </c>
      <c r="K9" s="7">
        <v>8.5089999999999999E-2</v>
      </c>
      <c r="L9" s="3" t="s">
        <v>10</v>
      </c>
      <c r="M9" s="3" t="s">
        <v>22</v>
      </c>
      <c r="N9"/>
      <c r="O9"/>
    </row>
    <row r="10" spans="1:15" ht="15.6" x14ac:dyDescent="0.3">
      <c r="A10" s="1">
        <v>9</v>
      </c>
      <c r="B10" s="13">
        <v>42.057943435513451</v>
      </c>
      <c r="C10" s="13">
        <v>103.42100000000001</v>
      </c>
      <c r="D10" s="1">
        <v>1</v>
      </c>
      <c r="E10" s="13">
        <v>152.39999999999998</v>
      </c>
      <c r="F10" s="2">
        <v>381</v>
      </c>
      <c r="G10" s="13">
        <f t="shared" si="0"/>
        <v>50.799999999999983</v>
      </c>
      <c r="H10" s="13">
        <v>25.4</v>
      </c>
      <c r="I10" s="13">
        <v>1</v>
      </c>
      <c r="J10" s="13">
        <v>50.8</v>
      </c>
      <c r="K10" s="7">
        <v>0</v>
      </c>
      <c r="L10" s="3" t="s">
        <v>10</v>
      </c>
      <c r="M10" s="3" t="s">
        <v>22</v>
      </c>
      <c r="N10"/>
      <c r="O10"/>
    </row>
    <row r="11" spans="1:15" ht="15.6" x14ac:dyDescent="0.3">
      <c r="A11" s="1">
        <v>10</v>
      </c>
      <c r="B11" s="13">
        <v>40.885836815179466</v>
      </c>
      <c r="C11" s="13">
        <v>103.42100000000001</v>
      </c>
      <c r="D11" s="1">
        <v>1</v>
      </c>
      <c r="E11" s="13">
        <v>152.39999999999998</v>
      </c>
      <c r="F11" s="2">
        <v>381</v>
      </c>
      <c r="G11" s="13">
        <f t="shared" si="0"/>
        <v>50.799999999999983</v>
      </c>
      <c r="H11" s="13">
        <v>25.4</v>
      </c>
      <c r="I11" s="13">
        <v>1</v>
      </c>
      <c r="J11" s="13">
        <v>50.8</v>
      </c>
      <c r="K11" s="7">
        <v>6.9087999999999997E-2</v>
      </c>
      <c r="L11" s="3" t="s">
        <v>10</v>
      </c>
      <c r="M11" s="3" t="s">
        <v>22</v>
      </c>
      <c r="N11"/>
      <c r="O11"/>
    </row>
    <row r="12" spans="1:15" ht="15.6" x14ac:dyDescent="0.3">
      <c r="A12" s="1">
        <v>11</v>
      </c>
      <c r="B12" s="13">
        <v>21.097919166011664</v>
      </c>
      <c r="C12" s="13">
        <v>103.42100000000001</v>
      </c>
      <c r="D12" s="1">
        <v>1</v>
      </c>
      <c r="E12" s="13">
        <v>152.39999999999998</v>
      </c>
      <c r="F12" s="2">
        <v>381</v>
      </c>
      <c r="G12" s="13">
        <f t="shared" si="0"/>
        <v>50.799999999999983</v>
      </c>
      <c r="H12" s="13">
        <v>25.4</v>
      </c>
      <c r="I12" s="13">
        <v>1</v>
      </c>
      <c r="J12" s="13">
        <v>50.8</v>
      </c>
      <c r="K12" s="7">
        <v>0</v>
      </c>
      <c r="L12" s="3" t="s">
        <v>10</v>
      </c>
      <c r="M12" s="3" t="s">
        <v>22</v>
      </c>
      <c r="N12"/>
      <c r="O12"/>
    </row>
    <row r="13" spans="1:15" ht="15.6" x14ac:dyDescent="0.3">
      <c r="A13" s="1">
        <v>12</v>
      </c>
      <c r="B13" s="13">
        <v>15.754491926253808</v>
      </c>
      <c r="C13" s="13">
        <v>103.42100000000001</v>
      </c>
      <c r="D13" s="1">
        <v>1</v>
      </c>
      <c r="E13" s="13">
        <v>152.39999999999998</v>
      </c>
      <c r="F13" s="2">
        <v>381</v>
      </c>
      <c r="G13" s="13">
        <f t="shared" si="0"/>
        <v>50.799999999999983</v>
      </c>
      <c r="H13" s="13">
        <v>25.4</v>
      </c>
      <c r="I13" s="13">
        <v>1</v>
      </c>
      <c r="J13" s="13">
        <v>50.8</v>
      </c>
      <c r="K13" s="7">
        <v>5.7911999999999991E-2</v>
      </c>
      <c r="L13" s="3" t="s">
        <v>10</v>
      </c>
      <c r="M13" s="3" t="s">
        <v>22</v>
      </c>
      <c r="N13"/>
      <c r="O13"/>
    </row>
    <row r="14" spans="1:15" ht="15.6" x14ac:dyDescent="0.3">
      <c r="A14" s="1">
        <v>13</v>
      </c>
      <c r="B14" s="13">
        <v>43.643734745377067</v>
      </c>
      <c r="C14" s="13">
        <v>103.42100000000001</v>
      </c>
      <c r="D14" s="1">
        <v>1</v>
      </c>
      <c r="E14" s="13">
        <v>152.39999999999998</v>
      </c>
      <c r="F14" s="2">
        <v>584.19999999999993</v>
      </c>
      <c r="G14" s="13">
        <f t="shared" si="0"/>
        <v>44.196000000000041</v>
      </c>
      <c r="H14" s="13">
        <v>32.26</v>
      </c>
      <c r="I14" s="13">
        <v>0.96899999999999997</v>
      </c>
      <c r="J14" s="13">
        <v>54.101999999999968</v>
      </c>
      <c r="K14" s="7">
        <v>0</v>
      </c>
      <c r="L14" s="3" t="s">
        <v>10</v>
      </c>
      <c r="M14" s="3" t="s">
        <v>22</v>
      </c>
      <c r="N14"/>
      <c r="O14"/>
    </row>
    <row r="15" spans="1:15" ht="15.6" x14ac:dyDescent="0.3">
      <c r="A15" s="1">
        <v>14</v>
      </c>
      <c r="B15" s="13">
        <v>16.547387581185617</v>
      </c>
      <c r="C15" s="13">
        <v>103.42100000000001</v>
      </c>
      <c r="D15" s="1">
        <v>1</v>
      </c>
      <c r="E15" s="13">
        <v>152.39999999999998</v>
      </c>
      <c r="F15" s="2">
        <v>584.19999999999993</v>
      </c>
      <c r="G15" s="13">
        <f t="shared" si="0"/>
        <v>44.196000000000041</v>
      </c>
      <c r="H15" s="13">
        <v>32.26</v>
      </c>
      <c r="I15" s="13">
        <v>0.96899999999999997</v>
      </c>
      <c r="J15" s="13">
        <v>54.101999999999968</v>
      </c>
      <c r="K15" s="7">
        <v>7.2644E-2</v>
      </c>
      <c r="L15" s="3" t="s">
        <v>10</v>
      </c>
      <c r="M15" s="3" t="s">
        <v>22</v>
      </c>
      <c r="N15"/>
      <c r="O15"/>
    </row>
    <row r="16" spans="1:15" ht="15.6" x14ac:dyDescent="0.3">
      <c r="A16" s="1">
        <v>15</v>
      </c>
      <c r="B16" s="13">
        <v>44.54005157269129</v>
      </c>
      <c r="C16" s="13">
        <v>103.42100000000001</v>
      </c>
      <c r="D16" s="1">
        <v>2</v>
      </c>
      <c r="E16" s="13">
        <v>152.39999999999998</v>
      </c>
      <c r="F16" s="2">
        <v>584.19999999999993</v>
      </c>
      <c r="G16" s="13">
        <f t="shared" si="0"/>
        <v>23.876000000000026</v>
      </c>
      <c r="H16" s="13">
        <v>28.65</v>
      </c>
      <c r="I16" s="13">
        <v>0.78600000000000003</v>
      </c>
      <c r="J16" s="13">
        <v>52.323999999999963</v>
      </c>
      <c r="K16" s="7">
        <v>7.1627999999999997E-2</v>
      </c>
      <c r="L16" s="3" t="s">
        <v>10</v>
      </c>
      <c r="M16" s="3" t="s">
        <v>22</v>
      </c>
      <c r="N16"/>
      <c r="O16"/>
    </row>
    <row r="17" spans="1:15" s="6" customFormat="1" ht="15.6" x14ac:dyDescent="0.3">
      <c r="A17" s="28">
        <v>16</v>
      </c>
      <c r="B17" s="29">
        <v>16.892124822460321</v>
      </c>
      <c r="C17" s="29">
        <v>103.42100000000001</v>
      </c>
      <c r="D17" s="28">
        <v>2</v>
      </c>
      <c r="E17" s="29">
        <v>152.39999999999998</v>
      </c>
      <c r="F17" s="4">
        <v>584.19999999999993</v>
      </c>
      <c r="G17" s="29">
        <f t="shared" si="0"/>
        <v>23.876000000000026</v>
      </c>
      <c r="H17" s="29">
        <v>28.65</v>
      </c>
      <c r="I17" s="29">
        <v>0.78600000000000003</v>
      </c>
      <c r="J17" s="29">
        <v>52.323999999999963</v>
      </c>
      <c r="K17" s="5">
        <v>8.1026000000000001E-2</v>
      </c>
      <c r="L17" s="6" t="s">
        <v>10</v>
      </c>
      <c r="M17" s="6" t="s">
        <v>22</v>
      </c>
      <c r="N17"/>
      <c r="O17"/>
    </row>
    <row r="18" spans="1:15" ht="15.6" x14ac:dyDescent="0.3">
      <c r="A18" s="1">
        <v>17</v>
      </c>
      <c r="B18" s="13">
        <v>40.265309780885005</v>
      </c>
      <c r="C18" s="13">
        <v>137.93103448275863</v>
      </c>
      <c r="D18" s="1">
        <v>2</v>
      </c>
      <c r="E18" s="13">
        <v>190.5</v>
      </c>
      <c r="F18" s="2">
        <v>152.39999999999998</v>
      </c>
      <c r="G18" s="13">
        <f t="shared" si="0"/>
        <v>76.2</v>
      </c>
      <c r="H18" s="13">
        <v>12.7</v>
      </c>
      <c r="I18" s="13">
        <v>1</v>
      </c>
      <c r="J18" s="13">
        <v>19.049999999999997</v>
      </c>
      <c r="K18" s="7">
        <v>4.8513999999999995E-2</v>
      </c>
      <c r="L18" s="3" t="s">
        <v>10</v>
      </c>
      <c r="M18" s="3" t="s">
        <v>22</v>
      </c>
      <c r="O18"/>
    </row>
    <row r="19" spans="1:15" ht="15.6" x14ac:dyDescent="0.3">
      <c r="A19" s="1">
        <v>18</v>
      </c>
      <c r="B19" s="13">
        <v>16.27159778816586</v>
      </c>
      <c r="C19" s="13">
        <v>137.93103448275863</v>
      </c>
      <c r="D19" s="1">
        <v>2</v>
      </c>
      <c r="E19" s="13">
        <v>190.5</v>
      </c>
      <c r="F19" s="2">
        <v>152.39999999999998</v>
      </c>
      <c r="G19" s="13">
        <f t="shared" si="0"/>
        <v>76.2</v>
      </c>
      <c r="H19" s="13">
        <v>12.7</v>
      </c>
      <c r="I19" s="13">
        <v>1</v>
      </c>
      <c r="J19" s="13">
        <v>19.049999999999997</v>
      </c>
      <c r="K19" s="7">
        <v>6.2738000000000002E-2</v>
      </c>
      <c r="L19" s="3" t="s">
        <v>10</v>
      </c>
      <c r="M19" s="3" t="s">
        <v>22</v>
      </c>
    </row>
    <row r="20" spans="1:15" ht="15.6" x14ac:dyDescent="0.3">
      <c r="A20" s="1">
        <v>19</v>
      </c>
      <c r="B20" s="13">
        <v>42.12689088376839</v>
      </c>
      <c r="C20" s="13">
        <v>137.93103448275863</v>
      </c>
      <c r="D20" s="1">
        <v>2</v>
      </c>
      <c r="E20" s="13">
        <v>279.39999999999998</v>
      </c>
      <c r="F20" s="2">
        <v>152.39999999999998</v>
      </c>
      <c r="G20" s="13">
        <f t="shared" si="0"/>
        <v>117.34799999999998</v>
      </c>
      <c r="H20" s="13">
        <v>19.05</v>
      </c>
      <c r="I20" s="13">
        <v>0.94399999999999995</v>
      </c>
      <c r="J20" s="13">
        <v>22.351999999999997</v>
      </c>
      <c r="K20" s="7">
        <v>0.11912599999999998</v>
      </c>
      <c r="L20" s="3" t="s">
        <v>10</v>
      </c>
      <c r="M20" s="3" t="s">
        <v>22</v>
      </c>
    </row>
    <row r="21" spans="1:15" ht="15.6" x14ac:dyDescent="0.3">
      <c r="A21" s="1">
        <v>20</v>
      </c>
      <c r="B21" s="13">
        <v>14.547911581792357</v>
      </c>
      <c r="C21" s="13">
        <v>137.93103448275863</v>
      </c>
      <c r="D21" s="1">
        <v>2</v>
      </c>
      <c r="E21" s="13">
        <v>279.39999999999998</v>
      </c>
      <c r="F21" s="2">
        <v>152.39999999999998</v>
      </c>
      <c r="G21" s="13">
        <f t="shared" si="0"/>
        <v>117.34799999999998</v>
      </c>
      <c r="H21" s="13">
        <v>19.05</v>
      </c>
      <c r="I21" s="13">
        <v>0.94399999999999995</v>
      </c>
      <c r="J21" s="13">
        <v>22.351999999999997</v>
      </c>
      <c r="K21" s="7">
        <v>0.13588999999999998</v>
      </c>
      <c r="L21" s="3" t="s">
        <v>10</v>
      </c>
      <c r="M21" s="3" t="s">
        <v>22</v>
      </c>
    </row>
    <row r="22" spans="1:15" ht="15.6" x14ac:dyDescent="0.3">
      <c r="A22" s="1">
        <v>21</v>
      </c>
      <c r="B22" s="13">
        <v>45.712158193025274</v>
      </c>
      <c r="C22" s="13">
        <v>137.93103448275863</v>
      </c>
      <c r="D22" s="1">
        <v>2</v>
      </c>
      <c r="E22" s="13">
        <v>152.39999999999998</v>
      </c>
      <c r="F22" s="2">
        <v>381</v>
      </c>
      <c r="G22" s="13">
        <f t="shared" si="0"/>
        <v>26.924000000000007</v>
      </c>
      <c r="H22" s="13">
        <v>22.22</v>
      </c>
      <c r="I22" s="13">
        <v>0.94799999999999995</v>
      </c>
      <c r="J22" s="13">
        <v>49.275999999999982</v>
      </c>
      <c r="K22" s="7">
        <v>0</v>
      </c>
      <c r="L22" s="3" t="s">
        <v>10</v>
      </c>
      <c r="M22" s="3" t="s">
        <v>22</v>
      </c>
    </row>
    <row r="23" spans="1:15" ht="15.6" x14ac:dyDescent="0.3">
      <c r="A23" s="1">
        <v>22</v>
      </c>
      <c r="B23" s="13">
        <v>45.884526813662625</v>
      </c>
      <c r="C23" s="13">
        <v>137.93103448275863</v>
      </c>
      <c r="D23" s="1">
        <v>2</v>
      </c>
      <c r="E23" s="13">
        <v>152.39999999999998</v>
      </c>
      <c r="F23" s="2">
        <v>381</v>
      </c>
      <c r="G23" s="13">
        <f t="shared" si="0"/>
        <v>26.924000000000007</v>
      </c>
      <c r="H23" s="13">
        <v>22.22</v>
      </c>
      <c r="I23" s="13">
        <v>0.94799999999999995</v>
      </c>
      <c r="J23" s="13">
        <v>49.275999999999982</v>
      </c>
      <c r="K23" s="7">
        <v>0.11683999999999999</v>
      </c>
      <c r="L23" s="3" t="s">
        <v>10</v>
      </c>
      <c r="M23" s="3" t="s">
        <v>22</v>
      </c>
    </row>
    <row r="24" spans="1:15" ht="15.6" x14ac:dyDescent="0.3">
      <c r="A24" s="1">
        <v>23</v>
      </c>
      <c r="B24" s="13">
        <v>17.374756960244898</v>
      </c>
      <c r="C24" s="13">
        <v>137.93103448275863</v>
      </c>
      <c r="D24" s="1">
        <v>3</v>
      </c>
      <c r="E24" s="13">
        <v>152.39999999999998</v>
      </c>
      <c r="F24" s="2">
        <v>381</v>
      </c>
      <c r="G24" s="13">
        <f t="shared" si="0"/>
        <v>17.949333333333339</v>
      </c>
      <c r="H24" s="13">
        <v>22.22</v>
      </c>
      <c r="I24" s="13">
        <v>0.94799999999999995</v>
      </c>
      <c r="J24" s="13">
        <v>49.275999999999982</v>
      </c>
      <c r="K24" s="7">
        <v>0.11582399999999998</v>
      </c>
      <c r="L24" s="3" t="s">
        <v>10</v>
      </c>
      <c r="M24" s="3" t="s">
        <v>22</v>
      </c>
    </row>
    <row r="25" spans="1:15" ht="15.6" x14ac:dyDescent="0.3">
      <c r="A25" s="1">
        <v>24</v>
      </c>
      <c r="B25" s="13">
        <v>14.685806478302236</v>
      </c>
      <c r="C25" s="13">
        <v>137.93103448275863</v>
      </c>
      <c r="D25" s="1">
        <v>2</v>
      </c>
      <c r="E25" s="13">
        <v>152.39999999999998</v>
      </c>
      <c r="F25" s="2">
        <v>381</v>
      </c>
      <c r="G25" s="13">
        <f t="shared" si="0"/>
        <v>26.924000000000007</v>
      </c>
      <c r="H25" s="13">
        <v>22.22</v>
      </c>
      <c r="I25" s="13">
        <v>0.94799999999999995</v>
      </c>
      <c r="J25" s="13">
        <v>49.275999999999982</v>
      </c>
      <c r="K25" s="7">
        <v>0.13258799999999998</v>
      </c>
      <c r="L25" s="3" t="s">
        <v>10</v>
      </c>
      <c r="M25" s="3" t="s">
        <v>22</v>
      </c>
    </row>
    <row r="26" spans="1:15" ht="15.6" x14ac:dyDescent="0.3">
      <c r="A26" s="1">
        <v>25</v>
      </c>
      <c r="B26" s="13">
        <v>42.057943435513451</v>
      </c>
      <c r="C26" s="13">
        <v>137.93103448275863</v>
      </c>
      <c r="D26" s="1">
        <v>1</v>
      </c>
      <c r="E26" s="13">
        <v>152.39999999999998</v>
      </c>
      <c r="F26" s="2">
        <v>381</v>
      </c>
      <c r="G26" s="13">
        <f t="shared" si="0"/>
        <v>50.799999999999983</v>
      </c>
      <c r="H26" s="13">
        <v>25.4</v>
      </c>
      <c r="I26" s="13">
        <v>1</v>
      </c>
      <c r="J26" s="13">
        <v>50.8</v>
      </c>
      <c r="K26" s="7">
        <v>8.4835999999999995E-2</v>
      </c>
      <c r="L26" s="3" t="s">
        <v>10</v>
      </c>
      <c r="M26" s="3" t="s">
        <v>22</v>
      </c>
    </row>
    <row r="27" spans="1:15" ht="15.6" x14ac:dyDescent="0.3">
      <c r="A27" s="1">
        <v>26</v>
      </c>
      <c r="B27" s="13">
        <v>40.885836815179466</v>
      </c>
      <c r="C27" s="13">
        <v>137.93103448275863</v>
      </c>
      <c r="D27" s="1">
        <v>1</v>
      </c>
      <c r="E27" s="13">
        <v>152.39999999999998</v>
      </c>
      <c r="F27" s="2">
        <v>381</v>
      </c>
      <c r="G27" s="13">
        <f t="shared" si="0"/>
        <v>50.799999999999983</v>
      </c>
      <c r="H27" s="13">
        <v>25.4</v>
      </c>
      <c r="I27" s="13">
        <v>1</v>
      </c>
      <c r="J27" s="13">
        <v>50.8</v>
      </c>
      <c r="K27" s="7">
        <v>0.12623799999999999</v>
      </c>
      <c r="L27" s="3" t="s">
        <v>10</v>
      </c>
      <c r="M27" s="3" t="s">
        <v>22</v>
      </c>
    </row>
    <row r="28" spans="1:15" x14ac:dyDescent="0.3">
      <c r="A28" s="1">
        <v>27</v>
      </c>
      <c r="B28" s="13">
        <v>21.097919166011664</v>
      </c>
      <c r="C28" s="13">
        <v>137.93103448275863</v>
      </c>
      <c r="D28" s="1">
        <v>1</v>
      </c>
      <c r="E28" s="13">
        <v>152.39999999999998</v>
      </c>
      <c r="F28" s="2">
        <v>381</v>
      </c>
      <c r="G28" s="13">
        <f t="shared" si="0"/>
        <v>50.799999999999983</v>
      </c>
      <c r="H28" s="13">
        <v>25.4</v>
      </c>
      <c r="I28" s="13">
        <v>1</v>
      </c>
      <c r="J28" s="13">
        <v>50.8</v>
      </c>
      <c r="K28" s="13">
        <v>0</v>
      </c>
      <c r="L28" s="3" t="s">
        <v>10</v>
      </c>
      <c r="M28" s="3" t="s">
        <v>22</v>
      </c>
    </row>
    <row r="29" spans="1:15" ht="15.6" x14ac:dyDescent="0.3">
      <c r="A29" s="1">
        <v>28</v>
      </c>
      <c r="B29" s="13">
        <v>15.754491926253808</v>
      </c>
      <c r="C29" s="13">
        <v>137.93103448275863</v>
      </c>
      <c r="D29" s="1">
        <v>1</v>
      </c>
      <c r="E29" s="13">
        <v>152.39999999999998</v>
      </c>
      <c r="F29" s="2">
        <v>381</v>
      </c>
      <c r="G29" s="13">
        <f t="shared" si="0"/>
        <v>50.799999999999983</v>
      </c>
      <c r="H29" s="13">
        <v>25.4</v>
      </c>
      <c r="I29" s="13">
        <v>1</v>
      </c>
      <c r="J29" s="13">
        <v>50.8</v>
      </c>
      <c r="K29" s="7">
        <v>0.10566399999999998</v>
      </c>
      <c r="L29" s="3" t="s">
        <v>10</v>
      </c>
      <c r="M29" s="3" t="s">
        <v>22</v>
      </c>
    </row>
    <row r="30" spans="1:15" ht="15.6" x14ac:dyDescent="0.3">
      <c r="A30" s="1">
        <v>29</v>
      </c>
      <c r="B30" s="13">
        <v>43.643734745377067</v>
      </c>
      <c r="C30" s="13">
        <v>137.93103448275863</v>
      </c>
      <c r="D30" s="1">
        <v>1</v>
      </c>
      <c r="E30" s="13">
        <v>152.39999999999998</v>
      </c>
      <c r="F30" s="2">
        <v>584.19999999999993</v>
      </c>
      <c r="G30" s="13">
        <f t="shared" si="0"/>
        <v>44.196000000000041</v>
      </c>
      <c r="H30" s="13">
        <v>32.26</v>
      </c>
      <c r="I30" s="13">
        <v>0.96899999999999997</v>
      </c>
      <c r="J30" s="13">
        <v>54.101999999999968</v>
      </c>
      <c r="K30" s="7">
        <v>0.15493999999999999</v>
      </c>
      <c r="L30" s="3" t="s">
        <v>10</v>
      </c>
      <c r="M30" s="3" t="s">
        <v>22</v>
      </c>
    </row>
    <row r="31" spans="1:15" ht="15.6" x14ac:dyDescent="0.3">
      <c r="A31" s="1">
        <v>30</v>
      </c>
      <c r="B31" s="13">
        <v>16.547387581185617</v>
      </c>
      <c r="C31" s="13">
        <v>137.93103448275863</v>
      </c>
      <c r="D31" s="1">
        <v>1</v>
      </c>
      <c r="E31" s="13">
        <v>152.39999999999998</v>
      </c>
      <c r="F31" s="2">
        <v>584.19999999999993</v>
      </c>
      <c r="G31" s="13">
        <f t="shared" si="0"/>
        <v>44.196000000000041</v>
      </c>
      <c r="H31" s="13">
        <v>32.26</v>
      </c>
      <c r="I31" s="13">
        <v>0.96899999999999997</v>
      </c>
      <c r="J31" s="13">
        <v>54.101999999999968</v>
      </c>
      <c r="K31" s="7">
        <v>0.13969999999999999</v>
      </c>
      <c r="L31" s="3" t="s">
        <v>10</v>
      </c>
      <c r="M31" s="3" t="s">
        <v>22</v>
      </c>
    </row>
    <row r="32" spans="1:15" ht="15.6" x14ac:dyDescent="0.3">
      <c r="A32" s="1">
        <v>31</v>
      </c>
      <c r="B32" s="13">
        <v>44.54005157269129</v>
      </c>
      <c r="C32" s="13">
        <v>137.93103448275863</v>
      </c>
      <c r="D32" s="1">
        <v>2</v>
      </c>
      <c r="E32" s="13">
        <v>152.39999999999998</v>
      </c>
      <c r="F32" s="2">
        <v>584.19999999999993</v>
      </c>
      <c r="G32" s="13">
        <f t="shared" si="0"/>
        <v>23.876000000000026</v>
      </c>
      <c r="H32" s="13">
        <v>28.65</v>
      </c>
      <c r="I32" s="13">
        <v>0.78600000000000003</v>
      </c>
      <c r="J32" s="13">
        <v>52.323999999999963</v>
      </c>
      <c r="K32" s="7">
        <v>0.11912599999999998</v>
      </c>
      <c r="L32" s="3" t="s">
        <v>10</v>
      </c>
      <c r="M32" s="3" t="s">
        <v>22</v>
      </c>
    </row>
    <row r="33" spans="1:15" s="6" customFormat="1" ht="15.6" x14ac:dyDescent="0.3">
      <c r="A33" s="28">
        <v>32</v>
      </c>
      <c r="B33" s="29">
        <v>16.892124822460321</v>
      </c>
      <c r="C33" s="29">
        <v>137.93103448275863</v>
      </c>
      <c r="D33" s="28">
        <v>2</v>
      </c>
      <c r="E33" s="29">
        <v>152.39999999999998</v>
      </c>
      <c r="F33" s="4">
        <v>584.19999999999993</v>
      </c>
      <c r="G33" s="29">
        <f t="shared" si="0"/>
        <v>23.876000000000026</v>
      </c>
      <c r="H33" s="29">
        <v>28.65</v>
      </c>
      <c r="I33" s="29">
        <v>0.78600000000000003</v>
      </c>
      <c r="J33" s="29">
        <v>52.323999999999963</v>
      </c>
      <c r="K33" s="5">
        <v>0.12750800000000001</v>
      </c>
      <c r="L33" s="6" t="s">
        <v>10</v>
      </c>
      <c r="M33" s="6" t="s">
        <v>22</v>
      </c>
    </row>
    <row r="34" spans="1:15" ht="15.6" x14ac:dyDescent="0.3">
      <c r="A34" s="1">
        <v>33</v>
      </c>
      <c r="B34" s="13">
        <v>40.265309780885005</v>
      </c>
      <c r="C34" s="13">
        <v>172.41379310344828</v>
      </c>
      <c r="D34" s="1">
        <v>2</v>
      </c>
      <c r="E34" s="13">
        <v>190.5</v>
      </c>
      <c r="F34" s="2">
        <v>152.39999999999998</v>
      </c>
      <c r="G34" s="13">
        <f t="shared" si="0"/>
        <v>76.2</v>
      </c>
      <c r="H34" s="13">
        <v>12.7</v>
      </c>
      <c r="I34" s="13">
        <v>1</v>
      </c>
      <c r="J34" s="13">
        <v>19.049999999999997</v>
      </c>
      <c r="K34" s="7">
        <v>6.5023999999999998E-2</v>
      </c>
      <c r="L34" s="3" t="s">
        <v>10</v>
      </c>
      <c r="M34" s="3" t="s">
        <v>22</v>
      </c>
      <c r="O34"/>
    </row>
    <row r="35" spans="1:15" ht="15.6" x14ac:dyDescent="0.3">
      <c r="A35" s="1">
        <v>34</v>
      </c>
      <c r="B35" s="13">
        <v>16.27159778816586</v>
      </c>
      <c r="C35" s="13">
        <v>172.41379310344828</v>
      </c>
      <c r="D35" s="1">
        <v>2</v>
      </c>
      <c r="E35" s="13">
        <v>190.5</v>
      </c>
      <c r="F35" s="2">
        <v>152.39999999999998</v>
      </c>
      <c r="G35" s="13">
        <f t="shared" si="0"/>
        <v>76.2</v>
      </c>
      <c r="H35" s="13">
        <v>12.7</v>
      </c>
      <c r="I35" s="13">
        <v>1</v>
      </c>
      <c r="J35" s="13">
        <v>19.049999999999997</v>
      </c>
      <c r="K35" s="7">
        <v>0.11683999999999999</v>
      </c>
      <c r="L35" s="3" t="s">
        <v>10</v>
      </c>
      <c r="M35" s="3" t="s">
        <v>22</v>
      </c>
      <c r="O35"/>
    </row>
    <row r="36" spans="1:15" ht="15.6" x14ac:dyDescent="0.3">
      <c r="A36" s="1">
        <v>35</v>
      </c>
      <c r="B36" s="13">
        <v>42.12689088376839</v>
      </c>
      <c r="C36" s="13">
        <v>172.41379310344828</v>
      </c>
      <c r="D36" s="1">
        <v>2</v>
      </c>
      <c r="E36" s="13">
        <v>279.39999999999998</v>
      </c>
      <c r="F36" s="2">
        <v>152.39999999999998</v>
      </c>
      <c r="G36" s="13">
        <f t="shared" si="0"/>
        <v>117.34799999999998</v>
      </c>
      <c r="H36" s="13">
        <v>19.05</v>
      </c>
      <c r="I36" s="13">
        <v>0.94399999999999995</v>
      </c>
      <c r="J36" s="13">
        <v>22.351999999999997</v>
      </c>
      <c r="K36" s="7">
        <v>0.16738600000000001</v>
      </c>
      <c r="L36" s="3" t="s">
        <v>10</v>
      </c>
      <c r="M36" s="3" t="s">
        <v>22</v>
      </c>
      <c r="O36"/>
    </row>
    <row r="37" spans="1:15" ht="15.6" x14ac:dyDescent="0.3">
      <c r="A37" s="1">
        <v>36</v>
      </c>
      <c r="B37" s="13">
        <v>14.547911581792357</v>
      </c>
      <c r="C37" s="13">
        <v>172.41379310344828</v>
      </c>
      <c r="D37" s="1">
        <v>2</v>
      </c>
      <c r="E37" s="13">
        <v>279.39999999999998</v>
      </c>
      <c r="F37" s="2">
        <v>152.39999999999998</v>
      </c>
      <c r="G37" s="13">
        <f t="shared" si="0"/>
        <v>117.34799999999998</v>
      </c>
      <c r="H37" s="13">
        <v>19.05</v>
      </c>
      <c r="I37" s="13">
        <v>0.94399999999999995</v>
      </c>
      <c r="J37" s="13">
        <v>22.351999999999997</v>
      </c>
      <c r="K37" s="7">
        <v>0.16992599999999999</v>
      </c>
      <c r="L37" s="3" t="s">
        <v>10</v>
      </c>
      <c r="M37" s="3" t="s">
        <v>22</v>
      </c>
      <c r="O37"/>
    </row>
    <row r="38" spans="1:15" ht="15.6" x14ac:dyDescent="0.3">
      <c r="A38" s="1">
        <v>37</v>
      </c>
      <c r="B38" s="13">
        <v>45.712158193025274</v>
      </c>
      <c r="C38" s="13">
        <v>172.41379310344828</v>
      </c>
      <c r="D38" s="1">
        <v>2</v>
      </c>
      <c r="E38" s="13">
        <v>152.39999999999998</v>
      </c>
      <c r="F38" s="2">
        <v>381</v>
      </c>
      <c r="G38" s="13">
        <f t="shared" si="0"/>
        <v>26.924000000000007</v>
      </c>
      <c r="H38" s="13">
        <v>22.22</v>
      </c>
      <c r="I38" s="13">
        <v>0.94799999999999995</v>
      </c>
      <c r="J38" s="13">
        <v>49.275999999999982</v>
      </c>
      <c r="K38" s="7">
        <v>9.017E-2</v>
      </c>
      <c r="L38" s="3" t="s">
        <v>10</v>
      </c>
      <c r="M38" s="3" t="s">
        <v>22</v>
      </c>
      <c r="O38"/>
    </row>
    <row r="39" spans="1:15" ht="15.6" x14ac:dyDescent="0.3">
      <c r="A39" s="1">
        <v>38</v>
      </c>
      <c r="B39" s="13">
        <v>45.884526813662625</v>
      </c>
      <c r="C39" s="13">
        <v>172.41379310344828</v>
      </c>
      <c r="D39" s="1">
        <v>2</v>
      </c>
      <c r="E39" s="13">
        <v>152.39999999999998</v>
      </c>
      <c r="F39" s="2">
        <v>381</v>
      </c>
      <c r="G39" s="13">
        <f t="shared" si="0"/>
        <v>26.924000000000007</v>
      </c>
      <c r="H39" s="13">
        <v>22.22</v>
      </c>
      <c r="I39" s="13">
        <v>0.94799999999999995</v>
      </c>
      <c r="J39" s="13">
        <v>49.275999999999982</v>
      </c>
      <c r="K39" s="7">
        <v>0.126746</v>
      </c>
      <c r="L39" s="3" t="s">
        <v>10</v>
      </c>
      <c r="M39" s="3" t="s">
        <v>22</v>
      </c>
      <c r="O39"/>
    </row>
    <row r="40" spans="1:15" ht="15.6" x14ac:dyDescent="0.3">
      <c r="A40" s="1">
        <v>39</v>
      </c>
      <c r="B40" s="13">
        <v>17.374756960244898</v>
      </c>
      <c r="C40" s="13">
        <v>172.41379310344828</v>
      </c>
      <c r="D40" s="1">
        <v>2</v>
      </c>
      <c r="E40" s="13">
        <v>152.39999999999998</v>
      </c>
      <c r="F40" s="2">
        <v>381</v>
      </c>
      <c r="G40" s="13">
        <f t="shared" si="0"/>
        <v>26.924000000000007</v>
      </c>
      <c r="H40" s="13">
        <v>22.22</v>
      </c>
      <c r="I40" s="13">
        <v>0.94799999999999995</v>
      </c>
      <c r="J40" s="13">
        <v>49.275999999999982</v>
      </c>
      <c r="K40" s="7">
        <v>0.14782799999999999</v>
      </c>
      <c r="L40" s="3" t="s">
        <v>10</v>
      </c>
      <c r="M40" s="3" t="s">
        <v>22</v>
      </c>
      <c r="O40"/>
    </row>
    <row r="41" spans="1:15" ht="15.6" x14ac:dyDescent="0.3">
      <c r="A41" s="1">
        <v>40</v>
      </c>
      <c r="B41" s="13">
        <v>14.685806478302236</v>
      </c>
      <c r="C41" s="13">
        <v>172.41379310344828</v>
      </c>
      <c r="D41" s="1">
        <v>2</v>
      </c>
      <c r="E41" s="13">
        <v>152.39999999999998</v>
      </c>
      <c r="F41" s="2">
        <v>381</v>
      </c>
      <c r="G41" s="13">
        <f t="shared" si="0"/>
        <v>26.924000000000007</v>
      </c>
      <c r="H41" s="13">
        <v>22.22</v>
      </c>
      <c r="I41" s="13">
        <v>0.94799999999999995</v>
      </c>
      <c r="J41" s="13">
        <v>49.275999999999982</v>
      </c>
      <c r="K41" s="7">
        <v>0.17932400000000001</v>
      </c>
      <c r="L41" s="3" t="s">
        <v>10</v>
      </c>
      <c r="M41" s="3" t="s">
        <v>22</v>
      </c>
      <c r="O41"/>
    </row>
    <row r="42" spans="1:15" ht="15.6" x14ac:dyDescent="0.3">
      <c r="A42" s="1">
        <v>41</v>
      </c>
      <c r="B42" s="13">
        <v>42.057943435513451</v>
      </c>
      <c r="C42" s="13">
        <v>172.41379310344828</v>
      </c>
      <c r="D42" s="1">
        <v>1</v>
      </c>
      <c r="E42" s="13">
        <v>152.39999999999998</v>
      </c>
      <c r="F42" s="2">
        <v>381</v>
      </c>
      <c r="G42" s="13">
        <f t="shared" si="0"/>
        <v>50.799999999999983</v>
      </c>
      <c r="H42" s="13">
        <v>25.4</v>
      </c>
      <c r="I42" s="13">
        <v>1</v>
      </c>
      <c r="J42" s="13">
        <v>50.8</v>
      </c>
      <c r="K42" s="7">
        <v>0.13741399999999998</v>
      </c>
      <c r="L42" s="3" t="s">
        <v>10</v>
      </c>
      <c r="M42" s="3" t="s">
        <v>22</v>
      </c>
      <c r="O42"/>
    </row>
    <row r="43" spans="1:15" ht="15.6" x14ac:dyDescent="0.3">
      <c r="A43" s="1">
        <v>42</v>
      </c>
      <c r="B43" s="13">
        <v>40.885836815179466</v>
      </c>
      <c r="C43" s="13">
        <v>172.41379310344828</v>
      </c>
      <c r="D43" s="1">
        <v>1</v>
      </c>
      <c r="E43" s="13">
        <v>152.39999999999998</v>
      </c>
      <c r="F43" s="2">
        <v>381</v>
      </c>
      <c r="G43" s="13">
        <f t="shared" si="0"/>
        <v>50.799999999999983</v>
      </c>
      <c r="H43" s="13">
        <v>25.4</v>
      </c>
      <c r="I43" s="13">
        <v>1</v>
      </c>
      <c r="J43" s="13">
        <v>50.8</v>
      </c>
      <c r="K43" s="7">
        <v>0.186944</v>
      </c>
      <c r="L43" s="3" t="s">
        <v>10</v>
      </c>
      <c r="M43" s="3" t="s">
        <v>22</v>
      </c>
      <c r="O43"/>
    </row>
    <row r="44" spans="1:15" ht="15.6" x14ac:dyDescent="0.3">
      <c r="A44" s="1">
        <v>43</v>
      </c>
      <c r="B44" s="13">
        <v>21.097919166011664</v>
      </c>
      <c r="C44" s="13">
        <v>172.41379310344828</v>
      </c>
      <c r="D44" s="1">
        <v>1</v>
      </c>
      <c r="E44" s="13">
        <v>152.39999999999998</v>
      </c>
      <c r="F44" s="2">
        <v>381</v>
      </c>
      <c r="G44" s="13">
        <f t="shared" si="0"/>
        <v>50.799999999999983</v>
      </c>
      <c r="H44" s="13">
        <v>25.4</v>
      </c>
      <c r="I44" s="13">
        <v>1</v>
      </c>
      <c r="J44" s="13">
        <v>50.8</v>
      </c>
      <c r="K44" s="7">
        <v>0.10871199999999999</v>
      </c>
      <c r="L44" s="3" t="s">
        <v>10</v>
      </c>
      <c r="M44" s="3" t="s">
        <v>22</v>
      </c>
      <c r="O44"/>
    </row>
    <row r="45" spans="1:15" ht="15.6" x14ac:dyDescent="0.3">
      <c r="A45" s="1">
        <v>44</v>
      </c>
      <c r="B45" s="13">
        <v>15.754491926253808</v>
      </c>
      <c r="C45" s="13">
        <v>172.41379310344828</v>
      </c>
      <c r="D45" s="1">
        <v>1</v>
      </c>
      <c r="E45" s="13">
        <v>152.39999999999998</v>
      </c>
      <c r="F45" s="2">
        <v>381</v>
      </c>
      <c r="G45" s="13">
        <f t="shared" si="0"/>
        <v>50.799999999999983</v>
      </c>
      <c r="H45" s="13">
        <v>25.4</v>
      </c>
      <c r="I45" s="13">
        <v>1</v>
      </c>
      <c r="J45" s="13">
        <v>50.8</v>
      </c>
      <c r="K45" s="7">
        <v>0.133858</v>
      </c>
      <c r="L45" s="3" t="s">
        <v>10</v>
      </c>
      <c r="M45" s="3" t="s">
        <v>22</v>
      </c>
      <c r="O45"/>
    </row>
    <row r="46" spans="1:15" ht="15.6" x14ac:dyDescent="0.3">
      <c r="A46" s="1">
        <v>45</v>
      </c>
      <c r="B46" s="13">
        <v>43.643734745377067</v>
      </c>
      <c r="C46" s="13">
        <v>172.41379310344828</v>
      </c>
      <c r="D46" s="1">
        <v>1</v>
      </c>
      <c r="E46" s="13">
        <v>152.39999999999998</v>
      </c>
      <c r="F46" s="2">
        <v>584.19999999999993</v>
      </c>
      <c r="G46" s="13">
        <f t="shared" si="0"/>
        <v>44.196000000000041</v>
      </c>
      <c r="H46" s="13">
        <v>32.26</v>
      </c>
      <c r="I46" s="13">
        <v>0.96899999999999997</v>
      </c>
      <c r="J46" s="13">
        <v>54.101999999999968</v>
      </c>
      <c r="K46" s="7">
        <v>0.22301199999999999</v>
      </c>
      <c r="L46" s="3" t="s">
        <v>10</v>
      </c>
      <c r="M46" s="3" t="s">
        <v>22</v>
      </c>
      <c r="O46"/>
    </row>
    <row r="47" spans="1:15" ht="15.6" x14ac:dyDescent="0.3">
      <c r="A47" s="1">
        <v>46</v>
      </c>
      <c r="B47" s="13">
        <v>16.547387581185617</v>
      </c>
      <c r="C47" s="13">
        <v>172.41379310344828</v>
      </c>
      <c r="D47" s="1">
        <v>1</v>
      </c>
      <c r="E47" s="13">
        <v>152.39999999999998</v>
      </c>
      <c r="F47" s="2">
        <v>584.19999999999993</v>
      </c>
      <c r="G47" s="13">
        <f t="shared" si="0"/>
        <v>44.196000000000041</v>
      </c>
      <c r="H47" s="13">
        <v>32.26</v>
      </c>
      <c r="I47" s="13">
        <v>0.96899999999999997</v>
      </c>
      <c r="J47" s="13">
        <v>54.101999999999968</v>
      </c>
      <c r="K47" s="7">
        <v>0.18668999999999999</v>
      </c>
      <c r="L47" s="3" t="s">
        <v>10</v>
      </c>
      <c r="M47" s="3" t="s">
        <v>22</v>
      </c>
      <c r="O47"/>
    </row>
    <row r="48" spans="1:15" ht="15.6" x14ac:dyDescent="0.3">
      <c r="A48" s="1">
        <v>47</v>
      </c>
      <c r="B48" s="13">
        <v>44.54005157269129</v>
      </c>
      <c r="C48" s="13">
        <v>172.41379310344828</v>
      </c>
      <c r="D48" s="1">
        <v>2</v>
      </c>
      <c r="E48" s="13">
        <v>152.39999999999998</v>
      </c>
      <c r="F48" s="2">
        <v>584.19999999999993</v>
      </c>
      <c r="G48" s="13">
        <f t="shared" si="0"/>
        <v>23.876000000000026</v>
      </c>
      <c r="H48" s="13">
        <v>28.65</v>
      </c>
      <c r="I48" s="13">
        <v>0.78600000000000003</v>
      </c>
      <c r="J48" s="13">
        <v>52.323999999999963</v>
      </c>
      <c r="K48" s="7">
        <v>0.17094199999999998</v>
      </c>
      <c r="L48" s="3" t="s">
        <v>10</v>
      </c>
      <c r="M48" s="3" t="s">
        <v>22</v>
      </c>
      <c r="O48"/>
    </row>
    <row r="49" spans="1:15" s="6" customFormat="1" ht="15.6" x14ac:dyDescent="0.3">
      <c r="A49" s="28">
        <v>48</v>
      </c>
      <c r="B49" s="29">
        <v>16.892124822460321</v>
      </c>
      <c r="C49" s="29">
        <v>172.41379310344828</v>
      </c>
      <c r="D49" s="28">
        <v>2</v>
      </c>
      <c r="E49" s="29">
        <v>152.39999999999998</v>
      </c>
      <c r="F49" s="4">
        <v>584.19999999999993</v>
      </c>
      <c r="G49" s="29">
        <f t="shared" si="0"/>
        <v>23.876000000000026</v>
      </c>
      <c r="H49" s="29">
        <v>28.65</v>
      </c>
      <c r="I49" s="29">
        <v>0.78600000000000003</v>
      </c>
      <c r="J49" s="29">
        <v>52.323999999999963</v>
      </c>
      <c r="K49" s="5">
        <v>0.16738600000000001</v>
      </c>
      <c r="L49" s="6" t="s">
        <v>10</v>
      </c>
      <c r="M49" s="6" t="s">
        <v>22</v>
      </c>
      <c r="O49" s="18"/>
    </row>
    <row r="50" spans="1:15" ht="15.6" x14ac:dyDescent="0.3">
      <c r="A50" s="1">
        <v>49</v>
      </c>
      <c r="B50" s="13">
        <v>40.265309780885005</v>
      </c>
      <c r="C50" s="13">
        <v>206.89655172413794</v>
      </c>
      <c r="D50" s="1">
        <v>2</v>
      </c>
      <c r="E50" s="13">
        <v>190.5</v>
      </c>
      <c r="F50" s="2">
        <v>152.39999999999998</v>
      </c>
      <c r="G50" s="13">
        <f t="shared" si="0"/>
        <v>76.2</v>
      </c>
      <c r="H50" s="13">
        <v>12.7</v>
      </c>
      <c r="I50" s="13">
        <v>1</v>
      </c>
      <c r="J50" s="13">
        <v>19.049999999999997</v>
      </c>
      <c r="K50" s="7">
        <v>8.9662000000000006E-2</v>
      </c>
      <c r="L50" s="3" t="s">
        <v>10</v>
      </c>
      <c r="M50" s="3" t="s">
        <v>22</v>
      </c>
    </row>
    <row r="51" spans="1:15" ht="15.6" x14ac:dyDescent="0.3">
      <c r="A51" s="1">
        <v>50</v>
      </c>
      <c r="B51" s="13">
        <v>16.27159778816586</v>
      </c>
      <c r="C51" s="13">
        <v>206.89655172413794</v>
      </c>
      <c r="D51" s="1">
        <v>2</v>
      </c>
      <c r="E51" s="13">
        <v>190.5</v>
      </c>
      <c r="F51" s="2">
        <v>152.39999999999998</v>
      </c>
      <c r="G51" s="13">
        <f t="shared" si="0"/>
        <v>76.2</v>
      </c>
      <c r="H51" s="13">
        <v>12.7</v>
      </c>
      <c r="I51" s="13">
        <v>1</v>
      </c>
      <c r="J51" s="13">
        <v>19.049999999999997</v>
      </c>
      <c r="K51" s="7">
        <v>0.15773399999999999</v>
      </c>
      <c r="L51" s="3" t="s">
        <v>10</v>
      </c>
      <c r="M51" s="3" t="s">
        <v>22</v>
      </c>
    </row>
    <row r="52" spans="1:15" ht="15.6" x14ac:dyDescent="0.3">
      <c r="A52" s="1">
        <v>51</v>
      </c>
      <c r="B52" s="13">
        <v>42.12689088376839</v>
      </c>
      <c r="C52" s="13">
        <v>206.89655172413794</v>
      </c>
      <c r="D52" s="1">
        <v>2</v>
      </c>
      <c r="E52" s="13">
        <v>279.39999999999998</v>
      </c>
      <c r="F52" s="2">
        <v>152.39999999999998</v>
      </c>
      <c r="G52" s="13">
        <f t="shared" si="0"/>
        <v>117.34799999999998</v>
      </c>
      <c r="H52" s="13">
        <v>19.05</v>
      </c>
      <c r="I52" s="13">
        <v>0.94399999999999995</v>
      </c>
      <c r="J52" s="13">
        <v>22.351999999999997</v>
      </c>
      <c r="K52" s="7">
        <v>0.20446999999999999</v>
      </c>
      <c r="L52" s="3" t="s">
        <v>10</v>
      </c>
      <c r="M52" s="3" t="s">
        <v>22</v>
      </c>
    </row>
    <row r="53" spans="1:15" ht="15.6" x14ac:dyDescent="0.3">
      <c r="A53" s="1">
        <v>52</v>
      </c>
      <c r="B53" s="13">
        <v>14.547911581792357</v>
      </c>
      <c r="C53" s="13">
        <v>206.89655172413794</v>
      </c>
      <c r="D53" s="1">
        <v>2</v>
      </c>
      <c r="E53" s="13">
        <v>279.39999999999998</v>
      </c>
      <c r="F53" s="2">
        <v>152.39999999999998</v>
      </c>
      <c r="G53" s="13">
        <f t="shared" si="0"/>
        <v>117.34799999999998</v>
      </c>
      <c r="H53" s="13">
        <v>19.05</v>
      </c>
      <c r="I53" s="13">
        <v>0.94399999999999995</v>
      </c>
      <c r="J53" s="13">
        <v>22.351999999999997</v>
      </c>
      <c r="K53" s="7">
        <v>0.202184</v>
      </c>
      <c r="L53" s="3" t="s">
        <v>10</v>
      </c>
      <c r="M53" s="3" t="s">
        <v>22</v>
      </c>
    </row>
    <row r="54" spans="1:15" ht="15.6" x14ac:dyDescent="0.3">
      <c r="A54" s="1">
        <v>53</v>
      </c>
      <c r="B54" s="13">
        <v>45.712158193025274</v>
      </c>
      <c r="C54" s="13">
        <v>206.89655172413794</v>
      </c>
      <c r="D54" s="1">
        <v>2</v>
      </c>
      <c r="E54" s="13">
        <v>152.39999999999998</v>
      </c>
      <c r="F54" s="2">
        <v>381</v>
      </c>
      <c r="G54" s="13">
        <f t="shared" si="0"/>
        <v>26.924000000000007</v>
      </c>
      <c r="H54" s="13">
        <v>22.22</v>
      </c>
      <c r="I54" s="13">
        <v>0.94799999999999995</v>
      </c>
      <c r="J54" s="13">
        <v>49.275999999999982</v>
      </c>
      <c r="K54" s="7">
        <v>0.173482</v>
      </c>
      <c r="L54" s="3" t="s">
        <v>10</v>
      </c>
      <c r="M54" s="3" t="s">
        <v>22</v>
      </c>
    </row>
    <row r="55" spans="1:15" ht="15.6" x14ac:dyDescent="0.3">
      <c r="A55" s="1">
        <v>54</v>
      </c>
      <c r="B55" s="13">
        <v>45.884526813662625</v>
      </c>
      <c r="C55" s="13">
        <v>206.89655172413794</v>
      </c>
      <c r="D55" s="1">
        <v>2</v>
      </c>
      <c r="E55" s="13">
        <v>152.39999999999998</v>
      </c>
      <c r="F55" s="2">
        <v>381</v>
      </c>
      <c r="G55" s="13">
        <f t="shared" si="0"/>
        <v>26.924000000000007</v>
      </c>
      <c r="H55" s="13">
        <v>22.22</v>
      </c>
      <c r="I55" s="13">
        <v>0.94799999999999995</v>
      </c>
      <c r="J55" s="13">
        <v>49.275999999999982</v>
      </c>
      <c r="K55" s="7">
        <v>0.16002</v>
      </c>
      <c r="L55" s="3" t="s">
        <v>10</v>
      </c>
      <c r="M55" s="3" t="s">
        <v>22</v>
      </c>
    </row>
    <row r="56" spans="1:15" ht="15.6" x14ac:dyDescent="0.3">
      <c r="A56" s="1">
        <v>55</v>
      </c>
      <c r="B56" s="13">
        <v>17.374756960244898</v>
      </c>
      <c r="C56" s="13">
        <v>206.89655172413794</v>
      </c>
      <c r="D56" s="1">
        <v>2</v>
      </c>
      <c r="E56" s="13">
        <v>152.39999999999998</v>
      </c>
      <c r="F56" s="2">
        <v>381</v>
      </c>
      <c r="G56" s="13">
        <f t="shared" si="0"/>
        <v>26.924000000000007</v>
      </c>
      <c r="H56" s="13">
        <v>22.22</v>
      </c>
      <c r="I56" s="13">
        <v>0.94799999999999995</v>
      </c>
      <c r="J56" s="13">
        <v>49.275999999999982</v>
      </c>
      <c r="K56" s="7">
        <v>0.17729200000000001</v>
      </c>
      <c r="L56" s="3" t="s">
        <v>10</v>
      </c>
      <c r="M56" s="3" t="s">
        <v>22</v>
      </c>
    </row>
    <row r="57" spans="1:15" ht="15.6" x14ac:dyDescent="0.3">
      <c r="A57" s="1">
        <v>56</v>
      </c>
      <c r="B57" s="13">
        <v>14.685806478302236</v>
      </c>
      <c r="C57" s="13">
        <v>206.89655172413794</v>
      </c>
      <c r="D57" s="1">
        <v>2</v>
      </c>
      <c r="E57" s="13">
        <v>152.39999999999998</v>
      </c>
      <c r="F57" s="2">
        <v>381</v>
      </c>
      <c r="G57" s="13">
        <f t="shared" si="0"/>
        <v>26.924000000000007</v>
      </c>
      <c r="H57" s="13">
        <v>22.22</v>
      </c>
      <c r="I57" s="13">
        <v>0.94799999999999995</v>
      </c>
      <c r="J57" s="13">
        <v>49.275999999999982</v>
      </c>
      <c r="K57" s="7">
        <v>0.22732999999999998</v>
      </c>
      <c r="L57" s="3" t="s">
        <v>10</v>
      </c>
      <c r="M57" s="3" t="s">
        <v>22</v>
      </c>
    </row>
    <row r="58" spans="1:15" ht="15.6" x14ac:dyDescent="0.3">
      <c r="A58" s="1">
        <v>57</v>
      </c>
      <c r="B58" s="13">
        <v>42.057943435513451</v>
      </c>
      <c r="C58" s="13">
        <v>206.89655172413794</v>
      </c>
      <c r="D58" s="1">
        <v>1</v>
      </c>
      <c r="E58" s="13">
        <v>152.39999999999998</v>
      </c>
      <c r="F58" s="2">
        <v>381</v>
      </c>
      <c r="G58" s="13">
        <f t="shared" si="0"/>
        <v>50.799999999999983</v>
      </c>
      <c r="H58" s="13">
        <v>25.4</v>
      </c>
      <c r="I58" s="13">
        <v>1</v>
      </c>
      <c r="J58" s="13">
        <v>50.8</v>
      </c>
      <c r="K58" s="7">
        <v>0.18770599999999998</v>
      </c>
      <c r="L58" s="3" t="s">
        <v>10</v>
      </c>
      <c r="M58" s="3" t="s">
        <v>22</v>
      </c>
    </row>
    <row r="59" spans="1:15" ht="15.6" x14ac:dyDescent="0.3">
      <c r="A59" s="1">
        <v>58</v>
      </c>
      <c r="B59" s="13">
        <v>40.885836815179466</v>
      </c>
      <c r="C59" s="13">
        <v>206.89655172413794</v>
      </c>
      <c r="D59" s="1">
        <v>1</v>
      </c>
      <c r="E59" s="13">
        <v>152.39999999999998</v>
      </c>
      <c r="F59" s="2">
        <v>381</v>
      </c>
      <c r="G59" s="13">
        <f t="shared" si="0"/>
        <v>50.799999999999983</v>
      </c>
      <c r="H59" s="13">
        <v>25.4</v>
      </c>
      <c r="I59" s="13">
        <v>1</v>
      </c>
      <c r="J59" s="13">
        <v>50.8</v>
      </c>
      <c r="K59" s="7">
        <v>0.24231599999999998</v>
      </c>
      <c r="L59" s="3" t="s">
        <v>10</v>
      </c>
      <c r="M59" s="3" t="s">
        <v>22</v>
      </c>
    </row>
    <row r="60" spans="1:15" ht="15.6" x14ac:dyDescent="0.3">
      <c r="A60" s="1">
        <v>59</v>
      </c>
      <c r="B60" s="13">
        <v>21.097919166011664</v>
      </c>
      <c r="C60" s="13">
        <v>206.89655172413794</v>
      </c>
      <c r="D60" s="1">
        <v>1</v>
      </c>
      <c r="E60" s="13">
        <v>152.39999999999998</v>
      </c>
      <c r="F60" s="2">
        <v>381</v>
      </c>
      <c r="G60" s="13">
        <f t="shared" si="0"/>
        <v>50.799999999999983</v>
      </c>
      <c r="H60" s="13">
        <v>25.4</v>
      </c>
      <c r="I60" s="13">
        <v>1</v>
      </c>
      <c r="J60" s="13">
        <v>50.8</v>
      </c>
      <c r="K60" s="7">
        <v>0.136652</v>
      </c>
      <c r="L60" s="3" t="s">
        <v>10</v>
      </c>
      <c r="M60" s="3" t="s">
        <v>22</v>
      </c>
    </row>
    <row r="61" spans="1:15" ht="15.6" x14ac:dyDescent="0.3">
      <c r="A61" s="1">
        <v>60</v>
      </c>
      <c r="B61" s="13">
        <v>15.754491926253808</v>
      </c>
      <c r="C61" s="13">
        <v>206.89655172413794</v>
      </c>
      <c r="D61" s="1">
        <v>1</v>
      </c>
      <c r="E61" s="13">
        <v>152.39999999999998</v>
      </c>
      <c r="F61" s="2">
        <v>381</v>
      </c>
      <c r="G61" s="13">
        <f t="shared" si="0"/>
        <v>50.799999999999983</v>
      </c>
      <c r="H61" s="13">
        <v>25.4</v>
      </c>
      <c r="I61" s="13">
        <v>1</v>
      </c>
      <c r="J61" s="13">
        <v>50.8</v>
      </c>
      <c r="K61" s="7">
        <v>0.161798</v>
      </c>
      <c r="L61" s="3" t="s">
        <v>10</v>
      </c>
      <c r="M61" s="3" t="s">
        <v>22</v>
      </c>
    </row>
    <row r="62" spans="1:15" ht="15.6" x14ac:dyDescent="0.3">
      <c r="A62" s="1">
        <v>61</v>
      </c>
      <c r="B62" s="13">
        <v>43.643734745377067</v>
      </c>
      <c r="C62" s="13">
        <v>206.89655172413794</v>
      </c>
      <c r="D62" s="1">
        <v>1</v>
      </c>
      <c r="E62" s="13">
        <v>152.39999999999998</v>
      </c>
      <c r="F62" s="2">
        <v>584.19999999999993</v>
      </c>
      <c r="G62" s="13">
        <f t="shared" si="0"/>
        <v>44.196000000000041</v>
      </c>
      <c r="H62" s="13">
        <v>32.26</v>
      </c>
      <c r="I62" s="13">
        <v>0.96899999999999997</v>
      </c>
      <c r="J62" s="13">
        <v>54.101999999999968</v>
      </c>
      <c r="K62" s="7">
        <v>0.28143199999999996</v>
      </c>
      <c r="L62" s="3" t="s">
        <v>10</v>
      </c>
      <c r="M62" s="3" t="s">
        <v>22</v>
      </c>
    </row>
    <row r="63" spans="1:15" ht="15.6" x14ac:dyDescent="0.3">
      <c r="A63" s="1">
        <v>62</v>
      </c>
      <c r="B63" s="13">
        <v>16.547387581185617</v>
      </c>
      <c r="C63" s="13">
        <v>206.89655172413794</v>
      </c>
      <c r="D63" s="1">
        <v>1</v>
      </c>
      <c r="E63" s="13">
        <v>152.39999999999998</v>
      </c>
      <c r="F63" s="2">
        <v>584.19999999999993</v>
      </c>
      <c r="G63" s="13">
        <f t="shared" si="0"/>
        <v>44.196000000000041</v>
      </c>
      <c r="H63" s="13">
        <v>32.26</v>
      </c>
      <c r="I63" s="13">
        <v>0.96899999999999997</v>
      </c>
      <c r="J63" s="13">
        <v>54.101999999999968</v>
      </c>
      <c r="K63" s="7">
        <v>0.22936199999999998</v>
      </c>
      <c r="L63" s="3" t="s">
        <v>10</v>
      </c>
      <c r="M63" s="3" t="s">
        <v>22</v>
      </c>
    </row>
    <row r="64" spans="1:15" ht="15.6" x14ac:dyDescent="0.3">
      <c r="A64" s="1">
        <v>63</v>
      </c>
      <c r="B64" s="13">
        <v>44.54005157269129</v>
      </c>
      <c r="C64" s="13">
        <v>206.89655172413794</v>
      </c>
      <c r="D64" s="1">
        <v>2</v>
      </c>
      <c r="E64" s="13">
        <v>152.39999999999998</v>
      </c>
      <c r="F64" s="2">
        <v>584.19999999999993</v>
      </c>
      <c r="G64" s="13">
        <f t="shared" si="0"/>
        <v>23.876000000000026</v>
      </c>
      <c r="H64" s="13">
        <v>28.65</v>
      </c>
      <c r="I64" s="13">
        <v>0.78600000000000003</v>
      </c>
      <c r="J64" s="13">
        <v>52.323999999999963</v>
      </c>
      <c r="K64" s="7">
        <v>0.21920200000000001</v>
      </c>
      <c r="L64" s="3" t="s">
        <v>10</v>
      </c>
      <c r="M64" s="3" t="s">
        <v>22</v>
      </c>
    </row>
    <row r="65" spans="1:13" ht="15.6" x14ac:dyDescent="0.3">
      <c r="A65" s="1">
        <v>64</v>
      </c>
      <c r="B65" s="13">
        <v>16.892124822460321</v>
      </c>
      <c r="C65" s="13">
        <v>206.89655172413794</v>
      </c>
      <c r="D65" s="1">
        <v>2</v>
      </c>
      <c r="E65" s="13">
        <v>152.39999999999998</v>
      </c>
      <c r="F65" s="2">
        <v>584.19999999999993</v>
      </c>
      <c r="G65" s="13">
        <f t="shared" si="0"/>
        <v>23.876000000000026</v>
      </c>
      <c r="H65" s="13">
        <v>28.65</v>
      </c>
      <c r="I65" s="13">
        <v>0.78600000000000003</v>
      </c>
      <c r="J65" s="13">
        <v>52.323999999999963</v>
      </c>
      <c r="K65" s="7">
        <v>0.208534</v>
      </c>
      <c r="L65" s="3" t="s">
        <v>10</v>
      </c>
      <c r="M65" s="3" t="s">
        <v>22</v>
      </c>
    </row>
    <row r="66" spans="1:13" x14ac:dyDescent="0.3">
      <c r="A66" s="1">
        <v>65</v>
      </c>
      <c r="B66" s="13">
        <v>40.265309780885005</v>
      </c>
      <c r="C66" s="13">
        <v>241.37931034482759</v>
      </c>
      <c r="D66" s="1">
        <v>2</v>
      </c>
      <c r="E66" s="13">
        <v>190.5</v>
      </c>
      <c r="F66" s="2">
        <v>152.39999999999998</v>
      </c>
      <c r="G66" s="13">
        <f t="shared" ref="G66:G128" si="1">(E66-2*J66)/D66</f>
        <v>76.2</v>
      </c>
      <c r="H66" s="13">
        <v>12.7</v>
      </c>
      <c r="I66" s="13">
        <v>1</v>
      </c>
      <c r="J66" s="13">
        <v>19.049999999999997</v>
      </c>
      <c r="K66" s="13">
        <v>0.11404599999999999</v>
      </c>
      <c r="L66" s="3" t="s">
        <v>10</v>
      </c>
      <c r="M66" s="3" t="s">
        <v>22</v>
      </c>
    </row>
    <row r="67" spans="1:13" x14ac:dyDescent="0.3">
      <c r="A67" s="1">
        <v>66</v>
      </c>
      <c r="B67" s="13">
        <v>16.27159778816586</v>
      </c>
      <c r="C67" s="13">
        <v>241.37931034482759</v>
      </c>
      <c r="D67" s="1">
        <v>2</v>
      </c>
      <c r="E67" s="13">
        <v>190.5</v>
      </c>
      <c r="F67" s="2">
        <v>152.39999999999998</v>
      </c>
      <c r="G67" s="13">
        <f t="shared" si="1"/>
        <v>76.2</v>
      </c>
      <c r="H67" s="13">
        <v>12.7</v>
      </c>
      <c r="I67" s="13">
        <v>1</v>
      </c>
      <c r="J67" s="13">
        <v>19.049999999999997</v>
      </c>
      <c r="K67" s="13">
        <v>0.198882</v>
      </c>
      <c r="L67" s="3" t="s">
        <v>10</v>
      </c>
      <c r="M67" s="3" t="s">
        <v>22</v>
      </c>
    </row>
    <row r="68" spans="1:13" x14ac:dyDescent="0.3">
      <c r="A68" s="1">
        <v>67</v>
      </c>
      <c r="B68" s="13">
        <v>42.12689088376839</v>
      </c>
      <c r="C68" s="13">
        <v>241.37931034482759</v>
      </c>
      <c r="D68" s="1">
        <v>2</v>
      </c>
      <c r="E68" s="13">
        <v>279.39999999999998</v>
      </c>
      <c r="F68" s="2">
        <v>152.39999999999998</v>
      </c>
      <c r="G68" s="13">
        <f t="shared" si="1"/>
        <v>117.34799999999998</v>
      </c>
      <c r="H68" s="13">
        <v>19.05</v>
      </c>
      <c r="I68" s="13">
        <v>0.94399999999999995</v>
      </c>
      <c r="J68" s="13">
        <v>22.351999999999997</v>
      </c>
      <c r="K68" s="13">
        <v>0.23901399999999998</v>
      </c>
      <c r="L68" s="3" t="s">
        <v>10</v>
      </c>
      <c r="M68" s="3" t="s">
        <v>22</v>
      </c>
    </row>
    <row r="69" spans="1:13" x14ac:dyDescent="0.3">
      <c r="A69" s="1">
        <v>68</v>
      </c>
      <c r="B69" s="13">
        <v>14.547911581792357</v>
      </c>
      <c r="C69" s="13">
        <v>241.37931034482759</v>
      </c>
      <c r="D69" s="1">
        <v>2</v>
      </c>
      <c r="E69" s="13">
        <v>279.39999999999998</v>
      </c>
      <c r="F69" s="2">
        <v>152.39999999999998</v>
      </c>
      <c r="G69" s="13">
        <f t="shared" si="1"/>
        <v>117.34799999999998</v>
      </c>
      <c r="H69" s="13">
        <v>19.05</v>
      </c>
      <c r="I69" s="13">
        <v>0.94399999999999995</v>
      </c>
      <c r="J69" s="13">
        <v>22.351999999999997</v>
      </c>
      <c r="K69" s="13">
        <v>0.23596599999999998</v>
      </c>
      <c r="L69" s="3" t="s">
        <v>10</v>
      </c>
      <c r="M69" s="3" t="s">
        <v>22</v>
      </c>
    </row>
    <row r="70" spans="1:13" x14ac:dyDescent="0.3">
      <c r="A70" s="1">
        <v>69</v>
      </c>
      <c r="B70" s="13">
        <v>45.712158193025274</v>
      </c>
      <c r="C70" s="13">
        <v>241.37931034482759</v>
      </c>
      <c r="D70" s="1">
        <v>2</v>
      </c>
      <c r="E70" s="13">
        <v>152.39999999999998</v>
      </c>
      <c r="F70" s="2">
        <v>381</v>
      </c>
      <c r="G70" s="13">
        <f t="shared" si="1"/>
        <v>26.924000000000007</v>
      </c>
      <c r="H70" s="13">
        <v>22.22</v>
      </c>
      <c r="I70" s="13">
        <v>0.94799999999999995</v>
      </c>
      <c r="J70" s="13">
        <v>49.275999999999982</v>
      </c>
      <c r="K70" s="13">
        <v>0.21335999999999997</v>
      </c>
      <c r="L70" s="3" t="s">
        <v>10</v>
      </c>
      <c r="M70" s="3" t="s">
        <v>22</v>
      </c>
    </row>
    <row r="71" spans="1:13" x14ac:dyDescent="0.3">
      <c r="A71" s="1">
        <v>70</v>
      </c>
      <c r="B71" s="13">
        <v>45.884526813662625</v>
      </c>
      <c r="C71" s="13">
        <v>241.37931034482759</v>
      </c>
      <c r="D71" s="1">
        <v>2</v>
      </c>
      <c r="E71" s="13">
        <v>152.39999999999998</v>
      </c>
      <c r="F71" s="2">
        <v>381</v>
      </c>
      <c r="G71" s="13">
        <f t="shared" si="1"/>
        <v>26.924000000000007</v>
      </c>
      <c r="H71" s="13">
        <v>22.22</v>
      </c>
      <c r="I71" s="13">
        <v>0.94799999999999995</v>
      </c>
      <c r="J71" s="13">
        <v>49.275999999999982</v>
      </c>
      <c r="K71" s="13">
        <v>0.20319999999999999</v>
      </c>
      <c r="L71" s="3" t="s">
        <v>10</v>
      </c>
      <c r="M71" s="3" t="s">
        <v>22</v>
      </c>
    </row>
    <row r="72" spans="1:13" x14ac:dyDescent="0.3">
      <c r="A72" s="1">
        <v>71</v>
      </c>
      <c r="B72" s="13">
        <v>17.374756960244898</v>
      </c>
      <c r="C72" s="13">
        <v>241.37931034482759</v>
      </c>
      <c r="D72" s="1">
        <v>2</v>
      </c>
      <c r="E72" s="13">
        <v>152.39999999999998</v>
      </c>
      <c r="F72" s="2">
        <v>381</v>
      </c>
      <c r="G72" s="13">
        <f t="shared" si="1"/>
        <v>26.924000000000007</v>
      </c>
      <c r="H72" s="13">
        <v>22.22</v>
      </c>
      <c r="I72" s="13">
        <v>0.94799999999999995</v>
      </c>
      <c r="J72" s="13">
        <v>49.275999999999982</v>
      </c>
      <c r="K72" s="13">
        <v>0</v>
      </c>
      <c r="L72" s="3" t="s">
        <v>10</v>
      </c>
      <c r="M72" s="3" t="s">
        <v>22</v>
      </c>
    </row>
    <row r="73" spans="1:13" x14ac:dyDescent="0.3">
      <c r="A73" s="1">
        <v>72</v>
      </c>
      <c r="B73" s="13">
        <v>14.685806478302236</v>
      </c>
      <c r="C73" s="13">
        <v>241.37931034482759</v>
      </c>
      <c r="D73" s="1">
        <v>2</v>
      </c>
      <c r="E73" s="13">
        <v>152.39999999999998</v>
      </c>
      <c r="F73" s="2">
        <v>381</v>
      </c>
      <c r="G73" s="13">
        <f t="shared" si="1"/>
        <v>26.924000000000007</v>
      </c>
      <c r="H73" s="13">
        <v>22.22</v>
      </c>
      <c r="I73" s="13">
        <v>0.94799999999999995</v>
      </c>
      <c r="J73" s="13">
        <v>49.275999999999982</v>
      </c>
      <c r="K73" s="13">
        <v>0.27711399999999997</v>
      </c>
      <c r="L73" s="3" t="s">
        <v>10</v>
      </c>
      <c r="M73" s="3" t="s">
        <v>22</v>
      </c>
    </row>
    <row r="74" spans="1:13" x14ac:dyDescent="0.3">
      <c r="A74" s="1">
        <v>73</v>
      </c>
      <c r="B74" s="13">
        <v>42.057943435513451</v>
      </c>
      <c r="C74" s="13">
        <v>241.37931034482759</v>
      </c>
      <c r="D74" s="1">
        <v>1</v>
      </c>
      <c r="E74" s="13">
        <v>152.39999999999998</v>
      </c>
      <c r="F74" s="2">
        <v>381</v>
      </c>
      <c r="G74" s="13">
        <f t="shared" si="1"/>
        <v>50.799999999999983</v>
      </c>
      <c r="H74" s="13">
        <v>25.4</v>
      </c>
      <c r="I74" s="13">
        <v>1</v>
      </c>
      <c r="J74" s="13">
        <v>50.8</v>
      </c>
      <c r="K74" s="13">
        <v>0.25171399999999999</v>
      </c>
      <c r="L74" s="3" t="s">
        <v>10</v>
      </c>
      <c r="M74" s="3" t="s">
        <v>22</v>
      </c>
    </row>
    <row r="75" spans="1:13" x14ac:dyDescent="0.3">
      <c r="A75" s="1">
        <v>74</v>
      </c>
      <c r="B75" s="13">
        <v>40.885836815179466</v>
      </c>
      <c r="C75" s="13">
        <v>241.37931034482759</v>
      </c>
      <c r="D75" s="1">
        <v>1</v>
      </c>
      <c r="E75" s="13">
        <v>152.39999999999998</v>
      </c>
      <c r="F75" s="2">
        <v>381</v>
      </c>
      <c r="G75" s="13">
        <f t="shared" si="1"/>
        <v>50.799999999999983</v>
      </c>
      <c r="H75" s="13">
        <v>25.4</v>
      </c>
      <c r="I75" s="13">
        <v>1</v>
      </c>
      <c r="J75" s="13">
        <v>50.8</v>
      </c>
      <c r="K75" s="13">
        <v>0.29718</v>
      </c>
      <c r="L75" s="3" t="s">
        <v>10</v>
      </c>
      <c r="M75" s="3" t="s">
        <v>22</v>
      </c>
    </row>
    <row r="76" spans="1:13" x14ac:dyDescent="0.3">
      <c r="A76" s="1">
        <v>75</v>
      </c>
      <c r="B76" s="13">
        <v>21.097919166011664</v>
      </c>
      <c r="C76" s="13">
        <v>241.37931034482759</v>
      </c>
      <c r="D76" s="1">
        <v>1</v>
      </c>
      <c r="E76" s="13">
        <v>152.39999999999998</v>
      </c>
      <c r="F76" s="2">
        <v>381</v>
      </c>
      <c r="G76" s="13">
        <f t="shared" si="1"/>
        <v>50.799999999999983</v>
      </c>
      <c r="H76" s="13">
        <v>25.4</v>
      </c>
      <c r="I76" s="13">
        <v>1</v>
      </c>
      <c r="J76" s="13">
        <v>50.8</v>
      </c>
      <c r="K76" s="13">
        <v>0.17068800000000001</v>
      </c>
      <c r="L76" s="3" t="s">
        <v>10</v>
      </c>
      <c r="M76" s="3" t="s">
        <v>22</v>
      </c>
    </row>
    <row r="77" spans="1:13" x14ac:dyDescent="0.3">
      <c r="A77" s="1">
        <v>76</v>
      </c>
      <c r="B77" s="13">
        <v>15.754491926253808</v>
      </c>
      <c r="C77" s="13">
        <v>241.37931034482759</v>
      </c>
      <c r="D77" s="1">
        <v>1</v>
      </c>
      <c r="E77" s="13">
        <v>152.39999999999998</v>
      </c>
      <c r="F77" s="2">
        <v>381</v>
      </c>
      <c r="G77" s="13">
        <f t="shared" si="1"/>
        <v>50.799999999999983</v>
      </c>
      <c r="H77" s="13">
        <v>25.4</v>
      </c>
      <c r="I77" s="13">
        <v>1</v>
      </c>
      <c r="J77" s="13">
        <v>50.8</v>
      </c>
      <c r="K77" s="13">
        <v>0.19685</v>
      </c>
      <c r="L77" s="3" t="s">
        <v>10</v>
      </c>
      <c r="M77" s="3" t="s">
        <v>22</v>
      </c>
    </row>
    <row r="78" spans="1:13" x14ac:dyDescent="0.3">
      <c r="A78" s="1">
        <v>77</v>
      </c>
      <c r="B78" s="13">
        <v>43.643734745377067</v>
      </c>
      <c r="C78" s="13">
        <v>241.37931034482759</v>
      </c>
      <c r="D78" s="1">
        <v>1</v>
      </c>
      <c r="E78" s="13">
        <v>152.39999999999998</v>
      </c>
      <c r="F78" s="2">
        <v>584.19999999999993</v>
      </c>
      <c r="G78" s="13">
        <f t="shared" si="1"/>
        <v>44.196000000000041</v>
      </c>
      <c r="H78" s="13">
        <v>32.26</v>
      </c>
      <c r="I78" s="13">
        <v>0.96899999999999997</v>
      </c>
      <c r="J78" s="13">
        <v>54.101999999999968</v>
      </c>
      <c r="K78" s="13">
        <v>0.32969199999999999</v>
      </c>
      <c r="L78" s="3" t="s">
        <v>10</v>
      </c>
      <c r="M78" s="3" t="s">
        <v>22</v>
      </c>
    </row>
    <row r="79" spans="1:13" x14ac:dyDescent="0.3">
      <c r="A79" s="1">
        <v>78</v>
      </c>
      <c r="B79" s="13">
        <v>16.547387581185617</v>
      </c>
      <c r="C79" s="13">
        <v>241.37931034482759</v>
      </c>
      <c r="D79" s="1">
        <v>1</v>
      </c>
      <c r="E79" s="13">
        <v>152.39999999999998</v>
      </c>
      <c r="F79" s="2">
        <v>584.19999999999993</v>
      </c>
      <c r="G79" s="13">
        <f t="shared" si="1"/>
        <v>44.196000000000041</v>
      </c>
      <c r="H79" s="13">
        <v>32.26</v>
      </c>
      <c r="I79" s="13">
        <v>0.96899999999999997</v>
      </c>
      <c r="J79" s="13">
        <v>54.101999999999968</v>
      </c>
      <c r="K79" s="13">
        <v>0.27127200000000001</v>
      </c>
      <c r="L79" s="3" t="s">
        <v>10</v>
      </c>
      <c r="M79" s="3" t="s">
        <v>22</v>
      </c>
    </row>
    <row r="80" spans="1:13" x14ac:dyDescent="0.3">
      <c r="A80" s="1">
        <v>79</v>
      </c>
      <c r="B80" s="13">
        <v>44.54005157269129</v>
      </c>
      <c r="C80" s="13">
        <v>241.37931034482759</v>
      </c>
      <c r="D80" s="1">
        <v>2</v>
      </c>
      <c r="E80" s="13">
        <v>152.39999999999998</v>
      </c>
      <c r="F80" s="2">
        <v>584.19999999999993</v>
      </c>
      <c r="G80" s="13">
        <f t="shared" si="1"/>
        <v>23.876000000000026</v>
      </c>
      <c r="H80" s="13">
        <v>28.65</v>
      </c>
      <c r="I80" s="13">
        <v>0.78600000000000003</v>
      </c>
      <c r="J80" s="13">
        <v>52.323999999999963</v>
      </c>
      <c r="K80" s="13">
        <v>0.26644599999999996</v>
      </c>
      <c r="L80" s="3" t="s">
        <v>10</v>
      </c>
      <c r="M80" s="3" t="s">
        <v>22</v>
      </c>
    </row>
    <row r="81" spans="1:13" x14ac:dyDescent="0.3">
      <c r="A81" s="1">
        <v>80</v>
      </c>
      <c r="B81" s="13">
        <v>16.892124822460321</v>
      </c>
      <c r="C81" s="13">
        <v>241.37931034482759</v>
      </c>
      <c r="D81" s="1">
        <v>2</v>
      </c>
      <c r="E81" s="13">
        <v>152.39999999999998</v>
      </c>
      <c r="F81" s="2">
        <v>584.19999999999993</v>
      </c>
      <c r="G81" s="13">
        <f t="shared" si="1"/>
        <v>23.876000000000026</v>
      </c>
      <c r="H81" s="13">
        <v>28.65</v>
      </c>
      <c r="I81" s="13">
        <v>0.78600000000000003</v>
      </c>
      <c r="J81" s="13">
        <v>52.323999999999963</v>
      </c>
      <c r="K81" s="13">
        <v>0.25171399999999999</v>
      </c>
      <c r="L81" s="3" t="s">
        <v>10</v>
      </c>
      <c r="M81" s="3" t="s">
        <v>22</v>
      </c>
    </row>
    <row r="82" spans="1:13" ht="15.6" x14ac:dyDescent="0.3">
      <c r="A82" s="1">
        <v>81</v>
      </c>
      <c r="B82" s="13">
        <v>40.265309780885005</v>
      </c>
      <c r="C82" s="13">
        <v>275.86206896551727</v>
      </c>
      <c r="D82" s="1">
        <v>2</v>
      </c>
      <c r="E82" s="13">
        <v>190.5</v>
      </c>
      <c r="F82" s="2">
        <v>152.39999999999998</v>
      </c>
      <c r="G82" s="13">
        <f t="shared" si="1"/>
        <v>76.2</v>
      </c>
      <c r="H82" s="13">
        <v>12.7</v>
      </c>
      <c r="I82" s="13">
        <v>1</v>
      </c>
      <c r="J82" s="13">
        <v>19.049999999999997</v>
      </c>
      <c r="K82" s="7">
        <v>0.13868399999999997</v>
      </c>
      <c r="L82" s="3" t="s">
        <v>10</v>
      </c>
      <c r="M82" s="3" t="s">
        <v>22</v>
      </c>
    </row>
    <row r="83" spans="1:13" ht="15.6" x14ac:dyDescent="0.3">
      <c r="A83" s="1">
        <v>82</v>
      </c>
      <c r="B83" s="13">
        <v>16.27159778816586</v>
      </c>
      <c r="C83" s="13">
        <v>275.86206896551727</v>
      </c>
      <c r="D83" s="1">
        <v>2</v>
      </c>
      <c r="E83" s="13">
        <v>190.5</v>
      </c>
      <c r="F83" s="2">
        <v>152.39999999999998</v>
      </c>
      <c r="G83" s="13">
        <f t="shared" si="1"/>
        <v>76.2</v>
      </c>
      <c r="H83" s="13">
        <v>12.7</v>
      </c>
      <c r="I83" s="13">
        <v>1</v>
      </c>
      <c r="J83" s="13">
        <v>19.049999999999997</v>
      </c>
      <c r="K83" s="7">
        <v>0.24002999999999999</v>
      </c>
      <c r="L83" s="3" t="s">
        <v>10</v>
      </c>
      <c r="M83" s="3" t="s">
        <v>22</v>
      </c>
    </row>
    <row r="84" spans="1:13" ht="15.6" x14ac:dyDescent="0.3">
      <c r="A84" s="1">
        <v>83</v>
      </c>
      <c r="B84" s="13">
        <v>42.12689088376839</v>
      </c>
      <c r="C84" s="13">
        <v>275.86206896551727</v>
      </c>
      <c r="D84" s="1">
        <v>2</v>
      </c>
      <c r="E84" s="13">
        <v>279.39999999999998</v>
      </c>
      <c r="F84" s="2">
        <v>152.39999999999998</v>
      </c>
      <c r="G84" s="13">
        <f t="shared" si="1"/>
        <v>117.34799999999998</v>
      </c>
      <c r="H84" s="13">
        <v>19.05</v>
      </c>
      <c r="I84" s="13">
        <v>0.94399999999999995</v>
      </c>
      <c r="J84" s="13">
        <v>22.351999999999997</v>
      </c>
      <c r="K84" s="7">
        <v>0.272034</v>
      </c>
      <c r="L84" s="3" t="s">
        <v>10</v>
      </c>
      <c r="M84" s="3" t="s">
        <v>22</v>
      </c>
    </row>
    <row r="85" spans="1:13" ht="15.6" x14ac:dyDescent="0.3">
      <c r="A85" s="1">
        <v>84</v>
      </c>
      <c r="B85" s="13">
        <v>14.547911581792357</v>
      </c>
      <c r="C85" s="13">
        <v>275.86206896551727</v>
      </c>
      <c r="D85" s="1">
        <v>2</v>
      </c>
      <c r="E85" s="13">
        <v>279.39999999999998</v>
      </c>
      <c r="F85" s="2">
        <v>152.39999999999998</v>
      </c>
      <c r="G85" s="13">
        <f t="shared" si="1"/>
        <v>117.34799999999998</v>
      </c>
      <c r="H85" s="13">
        <v>19.05</v>
      </c>
      <c r="I85" s="13">
        <v>0.94399999999999995</v>
      </c>
      <c r="J85" s="13">
        <v>22.351999999999997</v>
      </c>
      <c r="K85" s="7">
        <v>0.26974799999999999</v>
      </c>
      <c r="L85" s="3" t="s">
        <v>10</v>
      </c>
      <c r="M85" s="3" t="s">
        <v>22</v>
      </c>
    </row>
    <row r="86" spans="1:13" ht="15.6" x14ac:dyDescent="0.3">
      <c r="A86" s="1">
        <v>85</v>
      </c>
      <c r="B86" s="13">
        <v>45.712158193025274</v>
      </c>
      <c r="C86" s="13">
        <v>275.86206896551727</v>
      </c>
      <c r="D86" s="1">
        <v>2</v>
      </c>
      <c r="E86" s="13">
        <v>152.39999999999998</v>
      </c>
      <c r="F86" s="2">
        <v>381</v>
      </c>
      <c r="G86" s="13">
        <f t="shared" si="1"/>
        <v>26.924000000000007</v>
      </c>
      <c r="H86" s="13">
        <v>22.22</v>
      </c>
      <c r="I86" s="13">
        <v>0.94799999999999995</v>
      </c>
      <c r="J86" s="13">
        <v>49.275999999999982</v>
      </c>
      <c r="K86" s="7">
        <v>0.25958799999999999</v>
      </c>
      <c r="L86" s="3" t="s">
        <v>10</v>
      </c>
      <c r="M86" s="3" t="s">
        <v>22</v>
      </c>
    </row>
    <row r="87" spans="1:13" ht="15.6" x14ac:dyDescent="0.3">
      <c r="A87" s="1">
        <v>86</v>
      </c>
      <c r="B87" s="13">
        <v>45.884526813662625</v>
      </c>
      <c r="C87" s="13">
        <v>275.86206896551727</v>
      </c>
      <c r="D87" s="1">
        <v>2</v>
      </c>
      <c r="E87" s="13">
        <v>152.39999999999998</v>
      </c>
      <c r="F87" s="2">
        <v>381</v>
      </c>
      <c r="G87" s="13">
        <f t="shared" si="1"/>
        <v>26.924000000000007</v>
      </c>
      <c r="H87" s="13">
        <v>22.22</v>
      </c>
      <c r="I87" s="13">
        <v>0.94799999999999995</v>
      </c>
      <c r="J87" s="13">
        <v>49.275999999999982</v>
      </c>
      <c r="K87" s="7">
        <v>0.254</v>
      </c>
      <c r="L87" s="3" t="s">
        <v>10</v>
      </c>
      <c r="M87" s="3" t="s">
        <v>22</v>
      </c>
    </row>
    <row r="88" spans="1:13" ht="15.6" x14ac:dyDescent="0.3">
      <c r="A88" s="1">
        <v>87</v>
      </c>
      <c r="B88" s="13">
        <v>17.374756960244898</v>
      </c>
      <c r="C88" s="13">
        <v>275.86206896551727</v>
      </c>
      <c r="D88" s="1">
        <v>2</v>
      </c>
      <c r="E88" s="13">
        <v>152.39999999999998</v>
      </c>
      <c r="F88" s="2">
        <v>381</v>
      </c>
      <c r="G88" s="13">
        <f t="shared" si="1"/>
        <v>26.924000000000007</v>
      </c>
      <c r="H88" s="13">
        <v>22.22</v>
      </c>
      <c r="I88" s="13">
        <v>0.94799999999999995</v>
      </c>
      <c r="J88" s="13">
        <v>49.275999999999982</v>
      </c>
      <c r="K88" s="7">
        <v>0</v>
      </c>
      <c r="L88" s="3" t="s">
        <v>10</v>
      </c>
      <c r="M88" s="3" t="s">
        <v>22</v>
      </c>
    </row>
    <row r="89" spans="1:13" ht="15.6" x14ac:dyDescent="0.3">
      <c r="A89" s="1">
        <v>88</v>
      </c>
      <c r="B89" s="13">
        <v>14.685806478302236</v>
      </c>
      <c r="C89" s="13">
        <v>275.86206896551727</v>
      </c>
      <c r="D89" s="1">
        <v>2</v>
      </c>
      <c r="E89" s="13">
        <v>152.39999999999998</v>
      </c>
      <c r="F89" s="2">
        <v>381</v>
      </c>
      <c r="G89" s="13">
        <f t="shared" si="1"/>
        <v>26.924000000000007</v>
      </c>
      <c r="H89" s="13">
        <v>22.22</v>
      </c>
      <c r="I89" s="13">
        <v>0.94799999999999995</v>
      </c>
      <c r="J89" s="13">
        <v>49.275999999999982</v>
      </c>
      <c r="K89" s="7">
        <v>0.31927799999999995</v>
      </c>
      <c r="L89" s="3" t="s">
        <v>10</v>
      </c>
      <c r="M89" s="3" t="s">
        <v>22</v>
      </c>
    </row>
    <row r="90" spans="1:13" ht="15.6" x14ac:dyDescent="0.3">
      <c r="A90" s="1">
        <v>89</v>
      </c>
      <c r="B90" s="13">
        <v>42.057943435513451</v>
      </c>
      <c r="C90" s="13">
        <v>275.86206896551727</v>
      </c>
      <c r="D90" s="1">
        <v>1</v>
      </c>
      <c r="E90" s="13">
        <v>152.39999999999998</v>
      </c>
      <c r="F90" s="2">
        <v>381</v>
      </c>
      <c r="G90" s="13">
        <f t="shared" si="1"/>
        <v>50.799999999999983</v>
      </c>
      <c r="H90" s="13">
        <v>25.4</v>
      </c>
      <c r="I90" s="13">
        <v>1</v>
      </c>
      <c r="J90" s="13">
        <v>50.8</v>
      </c>
      <c r="K90" s="7">
        <v>0.29616399999999998</v>
      </c>
      <c r="L90" s="3" t="s">
        <v>10</v>
      </c>
      <c r="M90" s="3" t="s">
        <v>22</v>
      </c>
    </row>
    <row r="91" spans="1:13" ht="15.6" x14ac:dyDescent="0.3">
      <c r="A91" s="1">
        <v>90</v>
      </c>
      <c r="B91" s="13">
        <v>40.885836815179466</v>
      </c>
      <c r="C91" s="13">
        <v>275.86206896551727</v>
      </c>
      <c r="D91" s="1">
        <v>1</v>
      </c>
      <c r="E91" s="13">
        <v>152.39999999999998</v>
      </c>
      <c r="F91" s="2">
        <v>381</v>
      </c>
      <c r="G91" s="13">
        <f t="shared" si="1"/>
        <v>50.799999999999983</v>
      </c>
      <c r="H91" s="13">
        <v>25.4</v>
      </c>
      <c r="I91" s="13">
        <v>1</v>
      </c>
      <c r="J91" s="13">
        <v>50.8</v>
      </c>
      <c r="K91" s="7">
        <v>0</v>
      </c>
      <c r="L91" s="3" t="s">
        <v>10</v>
      </c>
      <c r="M91" s="3" t="s">
        <v>22</v>
      </c>
    </row>
    <row r="92" spans="1:13" ht="15.6" x14ac:dyDescent="0.3">
      <c r="A92" s="1">
        <v>91</v>
      </c>
      <c r="B92" s="13">
        <v>21.097919166011664</v>
      </c>
      <c r="C92" s="13">
        <v>275.86206896551727</v>
      </c>
      <c r="D92" s="1">
        <v>1</v>
      </c>
      <c r="E92" s="13">
        <v>152.39999999999998</v>
      </c>
      <c r="F92" s="2">
        <v>381</v>
      </c>
      <c r="G92" s="13">
        <f t="shared" si="1"/>
        <v>50.799999999999983</v>
      </c>
      <c r="H92" s="13">
        <v>25.4</v>
      </c>
      <c r="I92" s="13">
        <v>1</v>
      </c>
      <c r="J92" s="13">
        <v>50.8</v>
      </c>
      <c r="K92" s="7">
        <v>0.20599399999999995</v>
      </c>
      <c r="L92" s="3" t="s">
        <v>10</v>
      </c>
      <c r="M92" s="3" t="s">
        <v>22</v>
      </c>
    </row>
    <row r="93" spans="1:13" ht="15.6" x14ac:dyDescent="0.3">
      <c r="A93" s="1">
        <v>92</v>
      </c>
      <c r="B93" s="13">
        <v>15.754491926253808</v>
      </c>
      <c r="C93" s="13">
        <v>275.86206896551727</v>
      </c>
      <c r="D93" s="1">
        <v>1</v>
      </c>
      <c r="E93" s="13">
        <v>152.39999999999998</v>
      </c>
      <c r="F93" s="2">
        <v>381</v>
      </c>
      <c r="G93" s="13">
        <f t="shared" si="1"/>
        <v>50.799999999999983</v>
      </c>
      <c r="H93" s="13">
        <v>25.4</v>
      </c>
      <c r="I93" s="13">
        <v>1</v>
      </c>
      <c r="J93" s="13">
        <v>50.8</v>
      </c>
      <c r="K93" s="7">
        <v>0</v>
      </c>
      <c r="L93" s="3" t="s">
        <v>10</v>
      </c>
      <c r="M93" s="3" t="s">
        <v>22</v>
      </c>
    </row>
    <row r="94" spans="1:13" ht="15.6" x14ac:dyDescent="0.3">
      <c r="A94" s="1">
        <v>93</v>
      </c>
      <c r="B94" s="13">
        <v>43.643734745377067</v>
      </c>
      <c r="C94" s="13">
        <v>275.86206896551727</v>
      </c>
      <c r="D94" s="1">
        <v>1</v>
      </c>
      <c r="E94" s="13">
        <v>152.39999999999998</v>
      </c>
      <c r="F94" s="2">
        <v>584.19999999999993</v>
      </c>
      <c r="G94" s="13">
        <f t="shared" si="1"/>
        <v>44.196000000000041</v>
      </c>
      <c r="H94" s="13">
        <v>32.26</v>
      </c>
      <c r="I94" s="13">
        <v>0.96899999999999997</v>
      </c>
      <c r="J94" s="13">
        <v>54.101999999999968</v>
      </c>
      <c r="K94" s="7">
        <v>0.39776400000000001</v>
      </c>
      <c r="L94" s="3" t="s">
        <v>10</v>
      </c>
      <c r="M94" s="3" t="s">
        <v>22</v>
      </c>
    </row>
    <row r="95" spans="1:13" ht="15.6" x14ac:dyDescent="0.3">
      <c r="A95" s="1">
        <v>94</v>
      </c>
      <c r="B95" s="13">
        <v>16.547387581185617</v>
      </c>
      <c r="C95" s="13">
        <v>275.86206896551727</v>
      </c>
      <c r="D95" s="1">
        <v>1</v>
      </c>
      <c r="E95" s="13">
        <v>152.39999999999998</v>
      </c>
      <c r="F95" s="2">
        <v>584.19999999999993</v>
      </c>
      <c r="G95" s="13">
        <f t="shared" si="1"/>
        <v>44.196000000000041</v>
      </c>
      <c r="H95" s="13">
        <v>32.26</v>
      </c>
      <c r="I95" s="13">
        <v>0.96899999999999997</v>
      </c>
      <c r="J95" s="13">
        <v>54.101999999999968</v>
      </c>
      <c r="K95" s="7">
        <v>0.31368999999999997</v>
      </c>
      <c r="L95" s="3" t="s">
        <v>10</v>
      </c>
      <c r="M95" s="3" t="s">
        <v>22</v>
      </c>
    </row>
    <row r="96" spans="1:13" ht="15.6" x14ac:dyDescent="0.3">
      <c r="A96" s="1">
        <v>95</v>
      </c>
      <c r="B96" s="13">
        <v>44.54005157269129</v>
      </c>
      <c r="C96" s="13">
        <v>275.86206896551727</v>
      </c>
      <c r="D96" s="1">
        <v>2</v>
      </c>
      <c r="E96" s="13">
        <v>152.39999999999998</v>
      </c>
      <c r="F96" s="2">
        <v>584.19999999999993</v>
      </c>
      <c r="G96" s="13">
        <f t="shared" si="1"/>
        <v>23.876000000000026</v>
      </c>
      <c r="H96" s="13">
        <v>28.65</v>
      </c>
      <c r="I96" s="13">
        <v>0.78600000000000003</v>
      </c>
      <c r="J96" s="13">
        <v>52.323999999999963</v>
      </c>
      <c r="K96" s="7">
        <v>0.32359599999999999</v>
      </c>
      <c r="L96" s="3" t="s">
        <v>10</v>
      </c>
      <c r="M96" s="3" t="s">
        <v>22</v>
      </c>
    </row>
    <row r="97" spans="1:17" s="34" customFormat="1" ht="15.6" x14ac:dyDescent="0.3">
      <c r="A97" s="30">
        <v>96</v>
      </c>
      <c r="B97" s="31">
        <v>16.892124822460321</v>
      </c>
      <c r="C97" s="31">
        <v>275.86206896551727</v>
      </c>
      <c r="D97" s="30">
        <v>2</v>
      </c>
      <c r="E97" s="31">
        <v>152.39999999999998</v>
      </c>
      <c r="F97" s="32">
        <v>584.19999999999993</v>
      </c>
      <c r="G97" s="31">
        <f t="shared" si="1"/>
        <v>23.876000000000026</v>
      </c>
      <c r="H97" s="31">
        <v>28.65</v>
      </c>
      <c r="I97" s="31">
        <v>0.78600000000000003</v>
      </c>
      <c r="J97" s="31">
        <v>52.323999999999963</v>
      </c>
      <c r="K97" s="33">
        <v>0</v>
      </c>
      <c r="L97" s="34" t="s">
        <v>10</v>
      </c>
      <c r="M97" s="34" t="s">
        <v>22</v>
      </c>
    </row>
    <row r="98" spans="1:17" ht="31.2" x14ac:dyDescent="0.6">
      <c r="A98" s="1">
        <v>97</v>
      </c>
      <c r="B98" s="7">
        <v>25.448275862068964</v>
      </c>
      <c r="C98" s="13">
        <v>103.44827586206897</v>
      </c>
      <c r="D98" s="1">
        <v>1</v>
      </c>
      <c r="E98" s="13">
        <v>152.39999999999998</v>
      </c>
      <c r="F98" s="2">
        <v>381.05079999999992</v>
      </c>
      <c r="G98" s="13">
        <f t="shared" si="1"/>
        <v>50.698400000000035</v>
      </c>
      <c r="H98" s="13">
        <v>25.4</v>
      </c>
      <c r="I98" s="7">
        <v>1.01E-2</v>
      </c>
      <c r="J98" s="13">
        <v>50.850799999999971</v>
      </c>
      <c r="K98" s="7">
        <v>5.1561999999999997E-2</v>
      </c>
      <c r="L98" s="3" t="s">
        <v>10</v>
      </c>
      <c r="M98" s="3" t="s">
        <v>23</v>
      </c>
      <c r="P98" s="129" t="s">
        <v>26</v>
      </c>
      <c r="Q98" s="130"/>
    </row>
    <row r="99" spans="1:17" ht="15.6" x14ac:dyDescent="0.3">
      <c r="A99" s="1">
        <v>98</v>
      </c>
      <c r="B99" s="7">
        <v>25.862068965517242</v>
      </c>
      <c r="C99" s="13">
        <v>103.44827586206897</v>
      </c>
      <c r="D99" s="1">
        <v>1</v>
      </c>
      <c r="E99" s="13">
        <v>152.39999999999998</v>
      </c>
      <c r="F99" s="2">
        <v>381.05079999999992</v>
      </c>
      <c r="G99" s="13">
        <f t="shared" si="1"/>
        <v>50.698400000000035</v>
      </c>
      <c r="H99" s="13">
        <v>25.4</v>
      </c>
      <c r="I99" s="7">
        <v>1.01E-2</v>
      </c>
      <c r="J99" s="13">
        <v>50.850799999999971</v>
      </c>
      <c r="K99" s="7">
        <v>6.7055999999999991E-2</v>
      </c>
      <c r="L99" s="3" t="s">
        <v>10</v>
      </c>
      <c r="M99" s="3" t="s">
        <v>23</v>
      </c>
    </row>
    <row r="100" spans="1:17" ht="15.6" x14ac:dyDescent="0.3">
      <c r="A100" s="1">
        <v>99</v>
      </c>
      <c r="B100" s="7">
        <v>30.068965517241381</v>
      </c>
      <c r="C100" s="13">
        <v>103.44827586206897</v>
      </c>
      <c r="D100" s="1">
        <v>2</v>
      </c>
      <c r="E100" s="13">
        <v>152.39999999999998</v>
      </c>
      <c r="F100" s="2">
        <v>381.31394399999999</v>
      </c>
      <c r="G100" s="13">
        <f t="shared" si="1"/>
        <v>34.738055999999986</v>
      </c>
      <c r="H100" s="13">
        <v>18.824999999999999</v>
      </c>
      <c r="I100" s="7">
        <v>1.0999999999999999E-2</v>
      </c>
      <c r="J100" s="13">
        <v>41.461944000000003</v>
      </c>
      <c r="K100" s="7">
        <v>5.7911999999999991E-2</v>
      </c>
      <c r="L100" s="3" t="s">
        <v>10</v>
      </c>
      <c r="M100" s="3" t="s">
        <v>23</v>
      </c>
    </row>
    <row r="101" spans="1:17" ht="15.6" x14ac:dyDescent="0.3">
      <c r="A101" s="1">
        <v>101</v>
      </c>
      <c r="B101" s="7">
        <v>27.172413793103448</v>
      </c>
      <c r="C101" s="13">
        <v>103.44827586206897</v>
      </c>
      <c r="D101" s="1">
        <v>2</v>
      </c>
      <c r="E101" s="13">
        <v>152.39999999999998</v>
      </c>
      <c r="F101" s="2">
        <v>380.32182</v>
      </c>
      <c r="G101" s="13">
        <f t="shared" si="1"/>
        <v>28.618179999999981</v>
      </c>
      <c r="H101" s="13">
        <v>18.824999999999999</v>
      </c>
      <c r="I101" s="7">
        <v>1.12E-2</v>
      </c>
      <c r="J101" s="13">
        <v>47.581820000000008</v>
      </c>
      <c r="K101" s="7">
        <v>7.8231999999999996E-2</v>
      </c>
      <c r="L101" s="3" t="s">
        <v>10</v>
      </c>
      <c r="M101" s="3" t="s">
        <v>23</v>
      </c>
    </row>
    <row r="102" spans="1:17" ht="15.6" x14ac:dyDescent="0.3">
      <c r="A102" s="1">
        <v>102</v>
      </c>
      <c r="B102" s="7">
        <v>26.758620689655171</v>
      </c>
      <c r="C102" s="13">
        <v>103.44827586206897</v>
      </c>
      <c r="D102" s="1">
        <v>2</v>
      </c>
      <c r="E102" s="13">
        <v>152.39999999999998</v>
      </c>
      <c r="F102" s="2">
        <v>381.05130799999995</v>
      </c>
      <c r="G102" s="13">
        <f t="shared" si="1"/>
        <v>52.272692000000006</v>
      </c>
      <c r="H102" s="13">
        <v>22.22</v>
      </c>
      <c r="I102" s="7">
        <v>1.4200000000000001E-2</v>
      </c>
      <c r="J102" s="13">
        <v>23.927307999999982</v>
      </c>
      <c r="K102" s="7">
        <v>4.8259999999999997E-2</v>
      </c>
      <c r="L102" s="3" t="s">
        <v>10</v>
      </c>
      <c r="M102" s="3" t="s">
        <v>23</v>
      </c>
    </row>
    <row r="103" spans="1:17" ht="15.6" x14ac:dyDescent="0.3">
      <c r="A103" s="1">
        <v>103</v>
      </c>
      <c r="B103" s="7">
        <v>22.413793103448278</v>
      </c>
      <c r="C103" s="13">
        <v>103.44827586206897</v>
      </c>
      <c r="D103" s="1">
        <v>2</v>
      </c>
      <c r="E103" s="13">
        <v>152.39999999999998</v>
      </c>
      <c r="F103" s="2">
        <v>380.81915199999997</v>
      </c>
      <c r="G103" s="13">
        <f t="shared" si="1"/>
        <v>27.104848000000018</v>
      </c>
      <c r="H103" s="13">
        <v>22.22</v>
      </c>
      <c r="I103" s="7">
        <v>1.5299999999999999E-2</v>
      </c>
      <c r="J103" s="13">
        <v>49.09515199999997</v>
      </c>
      <c r="K103" s="7">
        <v>7.1627999999999997E-2</v>
      </c>
      <c r="L103" s="3" t="s">
        <v>10</v>
      </c>
      <c r="M103" s="3" t="s">
        <v>23</v>
      </c>
    </row>
    <row r="104" spans="1:17" ht="15.6" x14ac:dyDescent="0.3">
      <c r="A104" s="1">
        <v>104</v>
      </c>
      <c r="B104" s="7">
        <v>29.517241379310345</v>
      </c>
      <c r="C104" s="13">
        <v>103.44827586206897</v>
      </c>
      <c r="D104" s="1">
        <v>2</v>
      </c>
      <c r="E104" s="13">
        <v>152.39999999999998</v>
      </c>
      <c r="F104" s="2">
        <v>380.81915199999997</v>
      </c>
      <c r="G104" s="13">
        <f t="shared" si="1"/>
        <v>27.104848000000018</v>
      </c>
      <c r="H104" s="13">
        <v>22.22</v>
      </c>
      <c r="I104" s="7">
        <v>1.5299999999999999E-2</v>
      </c>
      <c r="J104" s="13">
        <v>49.09515199999997</v>
      </c>
      <c r="K104" s="7">
        <v>6.1213999999999991E-2</v>
      </c>
      <c r="L104" s="3" t="s">
        <v>10</v>
      </c>
      <c r="M104" s="3" t="s">
        <v>23</v>
      </c>
    </row>
    <row r="105" spans="1:17" ht="15.6" x14ac:dyDescent="0.3">
      <c r="A105" s="1">
        <v>105</v>
      </c>
      <c r="B105" s="7">
        <v>29.03448275862069</v>
      </c>
      <c r="C105" s="13">
        <v>103.44827586206897</v>
      </c>
      <c r="D105" s="1">
        <v>2</v>
      </c>
      <c r="E105" s="13">
        <v>152.39999999999998</v>
      </c>
      <c r="F105" s="2">
        <v>380.81915199999997</v>
      </c>
      <c r="G105" s="13">
        <f t="shared" si="1"/>
        <v>27.104848000000018</v>
      </c>
      <c r="H105" s="13">
        <v>22.22</v>
      </c>
      <c r="I105" s="7">
        <v>1.5299999999999999E-2</v>
      </c>
      <c r="J105" s="13">
        <v>49.09515199999997</v>
      </c>
      <c r="K105" s="7">
        <v>9.017E-2</v>
      </c>
      <c r="L105" s="3" t="s">
        <v>10</v>
      </c>
      <c r="M105" s="3" t="s">
        <v>23</v>
      </c>
    </row>
    <row r="106" spans="1:17" ht="15.6" x14ac:dyDescent="0.3">
      <c r="A106" s="1">
        <v>106</v>
      </c>
      <c r="B106" s="7">
        <v>27.862068965517242</v>
      </c>
      <c r="C106" s="13">
        <v>103.44827586206897</v>
      </c>
      <c r="D106" s="1">
        <v>2</v>
      </c>
      <c r="E106" s="13">
        <v>152.39999999999998</v>
      </c>
      <c r="F106" s="2">
        <v>380.81915199999997</v>
      </c>
      <c r="G106" s="13">
        <f t="shared" si="1"/>
        <v>27.104848000000018</v>
      </c>
      <c r="H106" s="13">
        <v>22.22</v>
      </c>
      <c r="I106" s="7">
        <v>1.5299999999999999E-2</v>
      </c>
      <c r="J106" s="13">
        <v>49.09515199999997</v>
      </c>
      <c r="K106" s="7">
        <v>8.3565999999999988E-2</v>
      </c>
      <c r="L106" s="3" t="s">
        <v>10</v>
      </c>
      <c r="M106" s="3" t="s">
        <v>23</v>
      </c>
    </row>
    <row r="107" spans="1:17" ht="15.6" x14ac:dyDescent="0.3">
      <c r="A107" s="1">
        <v>107</v>
      </c>
      <c r="B107" s="7">
        <v>24.620689655172413</v>
      </c>
      <c r="C107" s="13">
        <v>103.44827586206897</v>
      </c>
      <c r="D107" s="1">
        <v>1</v>
      </c>
      <c r="E107" s="13">
        <v>152.39999999999998</v>
      </c>
      <c r="F107" s="2">
        <v>380.86690399999998</v>
      </c>
      <c r="G107" s="13">
        <f t="shared" si="1"/>
        <v>43.954191999999978</v>
      </c>
      <c r="H107" s="13">
        <v>31.87</v>
      </c>
      <c r="I107" s="7">
        <v>1.6500000000000001E-2</v>
      </c>
      <c r="J107" s="13">
        <v>54.222904</v>
      </c>
      <c r="K107" s="7">
        <v>0.11226800000000001</v>
      </c>
      <c r="L107" s="3" t="s">
        <v>10</v>
      </c>
      <c r="M107" s="3" t="s">
        <v>23</v>
      </c>
    </row>
    <row r="108" spans="1:17" ht="15.6" x14ac:dyDescent="0.3">
      <c r="A108" s="1">
        <v>108</v>
      </c>
      <c r="B108" s="7">
        <v>28.689655172413794</v>
      </c>
      <c r="C108" s="13">
        <v>103.44827586206897</v>
      </c>
      <c r="D108" s="1">
        <v>1</v>
      </c>
      <c r="E108" s="13">
        <v>152.39999999999998</v>
      </c>
      <c r="F108" s="2">
        <v>380.86690399999998</v>
      </c>
      <c r="G108" s="13">
        <f t="shared" si="1"/>
        <v>43.954191999999978</v>
      </c>
      <c r="H108" s="13">
        <v>31.87</v>
      </c>
      <c r="I108" s="7">
        <v>1.6500000000000001E-2</v>
      </c>
      <c r="J108" s="13">
        <v>54.222904</v>
      </c>
      <c r="K108" s="7">
        <v>0.130302</v>
      </c>
      <c r="L108" s="3" t="s">
        <v>10</v>
      </c>
      <c r="M108" s="3" t="s">
        <v>23</v>
      </c>
    </row>
    <row r="109" spans="1:17" ht="15.6" x14ac:dyDescent="0.3">
      <c r="A109" s="1">
        <v>109</v>
      </c>
      <c r="B109" s="7">
        <v>25.448275862068964</v>
      </c>
      <c r="C109" s="13">
        <v>137.93103448275863</v>
      </c>
      <c r="D109" s="1">
        <v>1</v>
      </c>
      <c r="E109" s="13">
        <v>152.39999999999998</v>
      </c>
      <c r="F109" s="2">
        <v>381.05079999999992</v>
      </c>
      <c r="G109" s="13">
        <f t="shared" si="1"/>
        <v>50.698400000000035</v>
      </c>
      <c r="H109" s="13">
        <v>25.4</v>
      </c>
      <c r="I109" s="7">
        <v>1.01E-2</v>
      </c>
      <c r="J109" s="13">
        <v>50.850799999999971</v>
      </c>
      <c r="K109" s="7">
        <v>0.11785599999999999</v>
      </c>
      <c r="L109" s="3" t="s">
        <v>10</v>
      </c>
      <c r="M109" s="3" t="s">
        <v>23</v>
      </c>
    </row>
    <row r="110" spans="1:17" ht="15.6" x14ac:dyDescent="0.3">
      <c r="A110" s="1">
        <v>110</v>
      </c>
      <c r="B110" s="7">
        <v>25.862068965517242</v>
      </c>
      <c r="C110" s="13">
        <v>137.93103448275863</v>
      </c>
      <c r="D110" s="1">
        <v>1</v>
      </c>
      <c r="E110" s="13">
        <v>152.39999999999998</v>
      </c>
      <c r="F110" s="2">
        <v>381.05079999999992</v>
      </c>
      <c r="G110" s="13">
        <f t="shared" si="1"/>
        <v>50.698400000000035</v>
      </c>
      <c r="H110" s="13">
        <v>25.4</v>
      </c>
      <c r="I110" s="7">
        <v>1.01E-2</v>
      </c>
      <c r="J110" s="13">
        <v>50.850799999999971</v>
      </c>
      <c r="K110" s="7">
        <v>0.116586</v>
      </c>
      <c r="L110" s="3" t="s">
        <v>10</v>
      </c>
      <c r="M110" s="3" t="s">
        <v>23</v>
      </c>
    </row>
    <row r="111" spans="1:17" ht="15.6" x14ac:dyDescent="0.3">
      <c r="A111" s="1">
        <v>111</v>
      </c>
      <c r="B111" s="7">
        <v>30.068965517241381</v>
      </c>
      <c r="C111" s="13">
        <v>137.93103448275863</v>
      </c>
      <c r="D111" s="1">
        <v>2</v>
      </c>
      <c r="E111" s="13">
        <v>152.39999999999998</v>
      </c>
      <c r="F111" s="2">
        <v>381.31394399999999</v>
      </c>
      <c r="G111" s="13">
        <f t="shared" si="1"/>
        <v>34.738055999999986</v>
      </c>
      <c r="H111" s="13">
        <v>18.824999999999999</v>
      </c>
      <c r="I111" s="7">
        <v>1.0999999999999999E-2</v>
      </c>
      <c r="J111" s="13">
        <v>41.461944000000003</v>
      </c>
      <c r="K111" s="7">
        <v>0.11201399999999999</v>
      </c>
      <c r="L111" s="3" t="s">
        <v>10</v>
      </c>
      <c r="M111" s="3" t="s">
        <v>23</v>
      </c>
    </row>
    <row r="112" spans="1:17" ht="15.6" x14ac:dyDescent="0.3">
      <c r="A112" s="1">
        <v>112</v>
      </c>
      <c r="B112" s="7">
        <v>29.241379310344829</v>
      </c>
      <c r="C112" s="13">
        <v>137.93103448275863</v>
      </c>
      <c r="D112" s="1">
        <v>2</v>
      </c>
      <c r="E112" s="13">
        <v>152.39999999999998</v>
      </c>
      <c r="F112" s="2">
        <v>381.31394399999999</v>
      </c>
      <c r="G112" s="13">
        <f t="shared" si="1"/>
        <v>34.738055999999986</v>
      </c>
      <c r="H112" s="13">
        <v>18.824999999999999</v>
      </c>
      <c r="I112" s="7">
        <v>1.0999999999999999E-2</v>
      </c>
      <c r="J112" s="13">
        <v>41.461944000000003</v>
      </c>
      <c r="K112" s="7">
        <v>7.6453999999999994E-2</v>
      </c>
      <c r="L112" s="3" t="s">
        <v>10</v>
      </c>
      <c r="M112" s="3" t="s">
        <v>23</v>
      </c>
    </row>
    <row r="113" spans="1:13" ht="15.6" x14ac:dyDescent="0.3">
      <c r="A113" s="1">
        <v>113</v>
      </c>
      <c r="B113" s="7">
        <v>27.172413793103448</v>
      </c>
      <c r="C113" s="13">
        <v>137.93103448275863</v>
      </c>
      <c r="D113" s="1">
        <v>2</v>
      </c>
      <c r="E113" s="13">
        <v>152.39999999999998</v>
      </c>
      <c r="F113" s="2">
        <v>380.32182</v>
      </c>
      <c r="G113" s="13">
        <f t="shared" si="1"/>
        <v>28.618179999999981</v>
      </c>
      <c r="H113" s="13">
        <v>18.824999999999999</v>
      </c>
      <c r="I113" s="7">
        <v>1.12E-2</v>
      </c>
      <c r="J113" s="13">
        <v>47.581820000000008</v>
      </c>
      <c r="K113" s="7">
        <v>9.3726000000000004E-2</v>
      </c>
      <c r="L113" s="3" t="s">
        <v>10</v>
      </c>
      <c r="M113" s="3" t="s">
        <v>23</v>
      </c>
    </row>
    <row r="114" spans="1:13" ht="15.6" x14ac:dyDescent="0.3">
      <c r="A114" s="1">
        <v>114</v>
      </c>
      <c r="B114" s="7">
        <v>26.758620689655171</v>
      </c>
      <c r="C114" s="13">
        <v>137.93103448275863</v>
      </c>
      <c r="D114" s="1">
        <v>2</v>
      </c>
      <c r="E114" s="13">
        <v>152.39999999999998</v>
      </c>
      <c r="F114" s="2">
        <v>381.05130799999995</v>
      </c>
      <c r="G114" s="13">
        <f t="shared" si="1"/>
        <v>52.272692000000006</v>
      </c>
      <c r="H114" s="13">
        <v>22.22</v>
      </c>
      <c r="I114" s="7">
        <v>1.4200000000000001E-2</v>
      </c>
      <c r="J114" s="13">
        <v>23.927307999999982</v>
      </c>
      <c r="K114" s="7">
        <v>6.9595999999999991E-2</v>
      </c>
      <c r="L114" s="3" t="s">
        <v>10</v>
      </c>
      <c r="M114" s="3" t="s">
        <v>23</v>
      </c>
    </row>
    <row r="115" spans="1:13" ht="15.6" x14ac:dyDescent="0.3">
      <c r="A115" s="1">
        <v>115</v>
      </c>
      <c r="B115" s="7">
        <v>22.413793103448278</v>
      </c>
      <c r="C115" s="13">
        <v>137.93103448275863</v>
      </c>
      <c r="D115" s="1">
        <v>2</v>
      </c>
      <c r="E115" s="13">
        <v>152.39999999999998</v>
      </c>
      <c r="F115" s="2">
        <v>380.81915199999997</v>
      </c>
      <c r="G115" s="13">
        <f t="shared" si="1"/>
        <v>27.104848000000018</v>
      </c>
      <c r="H115" s="13">
        <v>22.22</v>
      </c>
      <c r="I115" s="7">
        <v>1.5299999999999999E-2</v>
      </c>
      <c r="J115" s="13">
        <v>49.09515199999997</v>
      </c>
      <c r="K115" s="7">
        <v>0.10922</v>
      </c>
      <c r="L115" s="3" t="s">
        <v>10</v>
      </c>
      <c r="M115" s="3" t="s">
        <v>23</v>
      </c>
    </row>
    <row r="116" spans="1:13" ht="15.6" x14ac:dyDescent="0.3">
      <c r="A116" s="1">
        <v>116</v>
      </c>
      <c r="B116" s="7">
        <v>29.517241379310345</v>
      </c>
      <c r="C116" s="13">
        <v>137.93103448275863</v>
      </c>
      <c r="D116" s="1">
        <v>2</v>
      </c>
      <c r="E116" s="13">
        <v>152.39999999999998</v>
      </c>
      <c r="F116" s="2">
        <v>380.81915199999997</v>
      </c>
      <c r="G116" s="13">
        <f t="shared" si="1"/>
        <v>27.104848000000018</v>
      </c>
      <c r="H116" s="13">
        <v>22.22</v>
      </c>
      <c r="I116" s="7">
        <v>1.5299999999999999E-2</v>
      </c>
      <c r="J116" s="13">
        <v>49.09515199999997</v>
      </c>
      <c r="K116" s="7">
        <v>9.1947999999999988E-2</v>
      </c>
      <c r="L116" s="3" t="s">
        <v>10</v>
      </c>
      <c r="M116" s="3" t="s">
        <v>23</v>
      </c>
    </row>
    <row r="117" spans="1:13" ht="15.6" x14ac:dyDescent="0.3">
      <c r="A117" s="1">
        <v>117</v>
      </c>
      <c r="B117" s="7">
        <v>29.03448275862069</v>
      </c>
      <c r="C117" s="13">
        <v>137.93103448275863</v>
      </c>
      <c r="D117" s="1">
        <v>2</v>
      </c>
      <c r="E117" s="13">
        <v>152.39999999999998</v>
      </c>
      <c r="F117" s="2">
        <v>380.81915199999997</v>
      </c>
      <c r="G117" s="13">
        <f t="shared" si="1"/>
        <v>27.104848000000018</v>
      </c>
      <c r="H117" s="13">
        <v>22.22</v>
      </c>
      <c r="I117" s="7">
        <v>1.5299999999999999E-2</v>
      </c>
      <c r="J117" s="13">
        <v>49.09515199999997</v>
      </c>
      <c r="K117" s="7">
        <v>0.10947399999999999</v>
      </c>
      <c r="L117" s="3" t="s">
        <v>10</v>
      </c>
      <c r="M117" s="3" t="s">
        <v>23</v>
      </c>
    </row>
    <row r="118" spans="1:13" ht="15.6" x14ac:dyDescent="0.3">
      <c r="A118" s="1">
        <v>118</v>
      </c>
      <c r="B118" s="7">
        <v>27.862068965517242</v>
      </c>
      <c r="C118" s="13">
        <v>137.93103448275863</v>
      </c>
      <c r="D118" s="1">
        <v>2</v>
      </c>
      <c r="E118" s="13">
        <v>152.39999999999998</v>
      </c>
      <c r="F118" s="2">
        <v>380.81915199999997</v>
      </c>
      <c r="G118" s="13">
        <f t="shared" si="1"/>
        <v>27.104848000000018</v>
      </c>
      <c r="H118" s="13">
        <v>22.22</v>
      </c>
      <c r="I118" s="7">
        <v>1.5299999999999999E-2</v>
      </c>
      <c r="J118" s="13">
        <v>49.09515199999997</v>
      </c>
      <c r="K118" s="7">
        <v>0.14427199999999998</v>
      </c>
      <c r="L118" s="3" t="s">
        <v>10</v>
      </c>
      <c r="M118" s="3" t="s">
        <v>23</v>
      </c>
    </row>
    <row r="119" spans="1:13" ht="15.6" x14ac:dyDescent="0.3">
      <c r="A119" s="1">
        <v>119</v>
      </c>
      <c r="B119" s="7">
        <v>24.620689655172413</v>
      </c>
      <c r="C119" s="13">
        <v>137.93103448275863</v>
      </c>
      <c r="D119" s="1">
        <v>1</v>
      </c>
      <c r="E119" s="13">
        <v>152.39999999999998</v>
      </c>
      <c r="F119" s="2">
        <v>380.86690399999998</v>
      </c>
      <c r="G119" s="13">
        <f t="shared" si="1"/>
        <v>43.954191999999978</v>
      </c>
      <c r="H119" s="13">
        <v>31.87</v>
      </c>
      <c r="I119" s="7">
        <v>1.6500000000000001E-2</v>
      </c>
      <c r="J119" s="13">
        <v>54.222904</v>
      </c>
      <c r="K119" s="7">
        <v>0.16738600000000001</v>
      </c>
      <c r="L119" s="3" t="s">
        <v>10</v>
      </c>
      <c r="M119" s="3" t="s">
        <v>23</v>
      </c>
    </row>
    <row r="120" spans="1:13" ht="15.6" x14ac:dyDescent="0.3">
      <c r="A120" s="1">
        <v>120</v>
      </c>
      <c r="B120" s="7">
        <v>28.689655172413794</v>
      </c>
      <c r="C120" s="13">
        <v>137.93103448275863</v>
      </c>
      <c r="D120" s="1">
        <v>1</v>
      </c>
      <c r="E120" s="13">
        <v>152.39999999999998</v>
      </c>
      <c r="F120" s="2">
        <v>380.86690399999998</v>
      </c>
      <c r="G120" s="13">
        <f t="shared" si="1"/>
        <v>43.954191999999978</v>
      </c>
      <c r="H120" s="13">
        <v>31.87</v>
      </c>
      <c r="I120" s="7">
        <v>1.6500000000000001E-2</v>
      </c>
      <c r="J120" s="13">
        <v>54.222904</v>
      </c>
      <c r="K120" s="7">
        <v>0.18770599999999998</v>
      </c>
      <c r="L120" s="3" t="s">
        <v>10</v>
      </c>
      <c r="M120" s="3" t="s">
        <v>23</v>
      </c>
    </row>
    <row r="121" spans="1:13" ht="15.6" x14ac:dyDescent="0.3">
      <c r="A121" s="1">
        <v>121</v>
      </c>
      <c r="B121" s="7">
        <v>25.448275862068964</v>
      </c>
      <c r="C121" s="13">
        <v>172.41379310344828</v>
      </c>
      <c r="D121" s="1">
        <v>1</v>
      </c>
      <c r="E121" s="13">
        <v>152.39999999999998</v>
      </c>
      <c r="F121" s="2">
        <v>381.05079999999992</v>
      </c>
      <c r="G121" s="13">
        <f t="shared" si="1"/>
        <v>50.698400000000035</v>
      </c>
      <c r="H121" s="13">
        <v>25.4</v>
      </c>
      <c r="I121" s="7">
        <v>1.01E-2</v>
      </c>
      <c r="J121" s="13">
        <v>50.850799999999971</v>
      </c>
      <c r="K121" s="7">
        <v>0.16992599999999999</v>
      </c>
      <c r="L121" s="3" t="s">
        <v>10</v>
      </c>
      <c r="M121" s="3" t="s">
        <v>23</v>
      </c>
    </row>
    <row r="122" spans="1:13" ht="15.6" x14ac:dyDescent="0.3">
      <c r="A122" s="1">
        <v>122</v>
      </c>
      <c r="B122" s="7">
        <v>25.862068965517242</v>
      </c>
      <c r="C122" s="13">
        <v>172.41379310344828</v>
      </c>
      <c r="D122" s="1">
        <v>1</v>
      </c>
      <c r="E122" s="13">
        <v>152.39999999999998</v>
      </c>
      <c r="F122" s="2">
        <v>381.05079999999992</v>
      </c>
      <c r="G122" s="13">
        <f t="shared" si="1"/>
        <v>50.698400000000035</v>
      </c>
      <c r="H122" s="13">
        <v>25.4</v>
      </c>
      <c r="I122" s="7">
        <v>1.01E-2</v>
      </c>
      <c r="J122" s="13">
        <v>50.850799999999971</v>
      </c>
      <c r="K122" s="7">
        <v>0.19532599999999997</v>
      </c>
      <c r="L122" s="3" t="s">
        <v>10</v>
      </c>
      <c r="M122" s="3" t="s">
        <v>23</v>
      </c>
    </row>
    <row r="123" spans="1:13" ht="15.6" x14ac:dyDescent="0.3">
      <c r="A123" s="1">
        <v>123</v>
      </c>
      <c r="B123" s="7">
        <v>30.068965517241381</v>
      </c>
      <c r="C123" s="13">
        <v>172.41379310344828</v>
      </c>
      <c r="D123" s="1">
        <v>2</v>
      </c>
      <c r="E123" s="13">
        <v>152.39999999999998</v>
      </c>
      <c r="F123" s="2">
        <v>381.31394399999999</v>
      </c>
      <c r="G123" s="13">
        <f t="shared" si="1"/>
        <v>34.738055999999986</v>
      </c>
      <c r="H123" s="13">
        <v>18.824999999999999</v>
      </c>
      <c r="I123" s="7">
        <v>1.0999999999999999E-2</v>
      </c>
      <c r="J123" s="13">
        <v>41.461944000000003</v>
      </c>
      <c r="K123" s="7">
        <v>0.16967199999999999</v>
      </c>
      <c r="L123" s="3" t="s">
        <v>10</v>
      </c>
      <c r="M123" s="3" t="s">
        <v>23</v>
      </c>
    </row>
    <row r="124" spans="1:13" ht="15.6" x14ac:dyDescent="0.3">
      <c r="A124" s="1">
        <v>124</v>
      </c>
      <c r="B124" s="7">
        <v>29.241379310344829</v>
      </c>
      <c r="C124" s="13">
        <v>172.41379310344828</v>
      </c>
      <c r="D124" s="1">
        <v>2</v>
      </c>
      <c r="E124" s="13">
        <v>152.39999999999998</v>
      </c>
      <c r="F124" s="2">
        <v>381.31394399999999</v>
      </c>
      <c r="G124" s="13">
        <f t="shared" si="1"/>
        <v>34.738055999999986</v>
      </c>
      <c r="H124" s="13">
        <v>18.824999999999999</v>
      </c>
      <c r="I124" s="7">
        <v>1.0999999999999999E-2</v>
      </c>
      <c r="J124" s="13">
        <v>41.461944000000003</v>
      </c>
      <c r="K124" s="7">
        <v>0.10667999999999998</v>
      </c>
      <c r="L124" s="3" t="s">
        <v>10</v>
      </c>
      <c r="M124" s="3" t="s">
        <v>23</v>
      </c>
    </row>
    <row r="125" spans="1:13" ht="15.6" x14ac:dyDescent="0.3">
      <c r="A125" s="1">
        <v>125</v>
      </c>
      <c r="B125" s="7">
        <v>27.172413793103448</v>
      </c>
      <c r="C125" s="13">
        <v>172.41379310344828</v>
      </c>
      <c r="D125" s="1">
        <v>2</v>
      </c>
      <c r="E125" s="13">
        <v>152.39999999999998</v>
      </c>
      <c r="F125" s="2">
        <v>380.32182</v>
      </c>
      <c r="G125" s="13">
        <f t="shared" si="1"/>
        <v>28.618179999999981</v>
      </c>
      <c r="H125" s="13">
        <v>18.824999999999999</v>
      </c>
      <c r="I125" s="7">
        <v>1.12E-2</v>
      </c>
      <c r="J125" s="13">
        <v>47.581820000000008</v>
      </c>
      <c r="K125" s="7">
        <v>0.12801599999999999</v>
      </c>
      <c r="L125" s="3" t="s">
        <v>10</v>
      </c>
      <c r="M125" s="3" t="s">
        <v>23</v>
      </c>
    </row>
    <row r="126" spans="1:13" ht="15.6" x14ac:dyDescent="0.3">
      <c r="A126" s="1">
        <v>126</v>
      </c>
      <c r="B126" s="7">
        <v>26.758620689655171</v>
      </c>
      <c r="C126" s="13">
        <v>172.41379310344828</v>
      </c>
      <c r="D126" s="1">
        <v>2</v>
      </c>
      <c r="E126" s="13">
        <v>152.39999999999998</v>
      </c>
      <c r="F126" s="2">
        <v>381.05130799999995</v>
      </c>
      <c r="G126" s="13">
        <f t="shared" si="1"/>
        <v>52.272692000000006</v>
      </c>
      <c r="H126" s="13">
        <v>22.22</v>
      </c>
      <c r="I126" s="7">
        <v>1.4200000000000001E-2</v>
      </c>
      <c r="J126" s="13">
        <v>23.927307999999982</v>
      </c>
      <c r="K126" s="7">
        <v>9.1947999999999988E-2</v>
      </c>
      <c r="L126" s="3" t="s">
        <v>10</v>
      </c>
      <c r="M126" s="3" t="s">
        <v>23</v>
      </c>
    </row>
    <row r="127" spans="1:13" ht="15.6" x14ac:dyDescent="0.3">
      <c r="A127" s="1">
        <v>127</v>
      </c>
      <c r="B127" s="7">
        <v>22.413793103448278</v>
      </c>
      <c r="C127" s="13">
        <v>172.41379310344828</v>
      </c>
      <c r="D127" s="1">
        <v>2</v>
      </c>
      <c r="E127" s="13">
        <v>152.39999999999998</v>
      </c>
      <c r="F127" s="2">
        <v>380.81915199999997</v>
      </c>
      <c r="G127" s="13">
        <f t="shared" si="1"/>
        <v>27.104848000000018</v>
      </c>
      <c r="H127" s="13">
        <v>22.22</v>
      </c>
      <c r="I127" s="7">
        <v>1.5299999999999999E-2</v>
      </c>
      <c r="J127" s="13">
        <v>49.09515199999997</v>
      </c>
      <c r="K127" s="7">
        <v>0.146812</v>
      </c>
      <c r="L127" s="3" t="s">
        <v>10</v>
      </c>
      <c r="M127" s="3" t="s">
        <v>23</v>
      </c>
    </row>
    <row r="128" spans="1:13" ht="15.6" x14ac:dyDescent="0.3">
      <c r="A128" s="1">
        <v>128</v>
      </c>
      <c r="B128" s="7">
        <v>29.517241379310345</v>
      </c>
      <c r="C128" s="13">
        <v>172.41379310344828</v>
      </c>
      <c r="D128" s="1">
        <v>2</v>
      </c>
      <c r="E128" s="13">
        <v>152.39999999999998</v>
      </c>
      <c r="F128" s="2">
        <v>380.81915199999997</v>
      </c>
      <c r="G128" s="13">
        <f t="shared" si="1"/>
        <v>27.104848000000018</v>
      </c>
      <c r="H128" s="13">
        <v>22.22</v>
      </c>
      <c r="I128" s="7">
        <v>1.5299999999999999E-2</v>
      </c>
      <c r="J128" s="13">
        <v>49.09515199999997</v>
      </c>
      <c r="K128" s="7">
        <v>0.11810999999999998</v>
      </c>
      <c r="L128" s="3" t="s">
        <v>10</v>
      </c>
      <c r="M128" s="3" t="s">
        <v>23</v>
      </c>
    </row>
    <row r="129" spans="1:13" ht="15.6" x14ac:dyDescent="0.3">
      <c r="A129" s="1">
        <v>129</v>
      </c>
      <c r="B129" s="7">
        <v>29.03448275862069</v>
      </c>
      <c r="C129" s="13">
        <v>172.41379310344828</v>
      </c>
      <c r="D129" s="1">
        <v>2</v>
      </c>
      <c r="E129" s="13">
        <v>152.39999999999998</v>
      </c>
      <c r="F129" s="2">
        <v>380.81915199999997</v>
      </c>
      <c r="G129" s="13">
        <f t="shared" ref="G129:G192" si="2">(E129-2*J129)/D129</f>
        <v>27.104848000000018</v>
      </c>
      <c r="H129" s="13">
        <v>22.22</v>
      </c>
      <c r="I129" s="7">
        <v>1.5299999999999999E-2</v>
      </c>
      <c r="J129" s="13">
        <v>49.09515199999997</v>
      </c>
      <c r="K129" s="7">
        <v>0.14782799999999999</v>
      </c>
      <c r="L129" s="3" t="s">
        <v>10</v>
      </c>
      <c r="M129" s="3" t="s">
        <v>23</v>
      </c>
    </row>
    <row r="130" spans="1:13" ht="15.6" x14ac:dyDescent="0.3">
      <c r="A130" s="1">
        <v>130</v>
      </c>
      <c r="B130" s="7">
        <v>27.862068965517242</v>
      </c>
      <c r="C130" s="13">
        <v>172.41379310344828</v>
      </c>
      <c r="D130" s="1">
        <v>2</v>
      </c>
      <c r="E130" s="13">
        <v>152.39999999999998</v>
      </c>
      <c r="F130" s="2">
        <v>380.81915199999997</v>
      </c>
      <c r="G130" s="13">
        <f t="shared" si="2"/>
        <v>27.104848000000018</v>
      </c>
      <c r="H130" s="13">
        <v>22.22</v>
      </c>
      <c r="I130" s="7">
        <v>1.5299999999999999E-2</v>
      </c>
      <c r="J130" s="13">
        <v>49.09515199999997</v>
      </c>
      <c r="K130" s="7">
        <v>0.19659599999999999</v>
      </c>
      <c r="L130" s="3" t="s">
        <v>10</v>
      </c>
      <c r="M130" s="3" t="s">
        <v>23</v>
      </c>
    </row>
    <row r="131" spans="1:13" ht="15.6" x14ac:dyDescent="0.3">
      <c r="A131" s="1">
        <v>131</v>
      </c>
      <c r="B131" s="7">
        <v>24.620689655172413</v>
      </c>
      <c r="C131" s="13">
        <v>172.41379310344828</v>
      </c>
      <c r="D131" s="1">
        <v>1</v>
      </c>
      <c r="E131" s="13">
        <v>152.39999999999998</v>
      </c>
      <c r="F131" s="2">
        <v>380.86690399999998</v>
      </c>
      <c r="G131" s="13">
        <f t="shared" si="2"/>
        <v>43.954191999999978</v>
      </c>
      <c r="H131" s="13">
        <v>31.87</v>
      </c>
      <c r="I131" s="7">
        <v>1.6500000000000001E-2</v>
      </c>
      <c r="J131" s="13">
        <v>54.222904</v>
      </c>
      <c r="K131" s="7">
        <v>0.22987000000000002</v>
      </c>
      <c r="L131" s="3" t="s">
        <v>10</v>
      </c>
      <c r="M131" s="3" t="s">
        <v>23</v>
      </c>
    </row>
    <row r="132" spans="1:13" s="6" customFormat="1" ht="15.6" x14ac:dyDescent="0.3">
      <c r="A132" s="28">
        <v>132</v>
      </c>
      <c r="B132" s="5">
        <v>28.689655172413794</v>
      </c>
      <c r="C132" s="29">
        <v>172.41379310344828</v>
      </c>
      <c r="D132" s="28">
        <v>1</v>
      </c>
      <c r="E132" s="29">
        <v>152.39999999999998</v>
      </c>
      <c r="F132" s="4">
        <v>380.86690399999998</v>
      </c>
      <c r="G132" s="29">
        <f t="shared" si="2"/>
        <v>43.954191999999978</v>
      </c>
      <c r="H132" s="29">
        <v>31.87</v>
      </c>
      <c r="I132" s="5">
        <v>1.6500000000000001E-2</v>
      </c>
      <c r="J132" s="29">
        <v>54.222904</v>
      </c>
      <c r="K132" s="5">
        <v>0.23901399999999998</v>
      </c>
      <c r="L132" s="6" t="s">
        <v>10</v>
      </c>
      <c r="M132" s="6" t="s">
        <v>23</v>
      </c>
    </row>
    <row r="133" spans="1:13" ht="15.6" x14ac:dyDescent="0.3">
      <c r="A133" s="1">
        <v>133</v>
      </c>
      <c r="B133" s="7">
        <v>26.620689655172413</v>
      </c>
      <c r="C133" s="13">
        <v>103.44827586206897</v>
      </c>
      <c r="D133" s="1">
        <v>2</v>
      </c>
      <c r="E133" s="13">
        <v>152.39999999999998</v>
      </c>
      <c r="F133" s="2">
        <v>381.05079999999992</v>
      </c>
      <c r="G133" s="13">
        <f t="shared" si="2"/>
        <v>25.349200000000017</v>
      </c>
      <c r="H133" s="13">
        <v>25.4</v>
      </c>
      <c r="I133" s="7">
        <v>2.0299999999999999E-2</v>
      </c>
      <c r="J133" s="13">
        <v>50.850799999999971</v>
      </c>
      <c r="K133" s="7">
        <v>0.16611599999999999</v>
      </c>
      <c r="L133" s="3" t="s">
        <v>10</v>
      </c>
      <c r="M133" s="3" t="s">
        <v>23</v>
      </c>
    </row>
    <row r="134" spans="1:13" ht="15.6" x14ac:dyDescent="0.3">
      <c r="A134" s="1">
        <v>134</v>
      </c>
      <c r="B134" s="7">
        <v>26.689655172413794</v>
      </c>
      <c r="C134" s="13">
        <v>103.44827586206897</v>
      </c>
      <c r="D134" s="1">
        <v>2</v>
      </c>
      <c r="E134" s="13">
        <v>152.39999999999998</v>
      </c>
      <c r="F134" s="2">
        <v>381.05079999999992</v>
      </c>
      <c r="G134" s="13">
        <f t="shared" si="2"/>
        <v>25.349200000000017</v>
      </c>
      <c r="H134" s="13">
        <v>25.4</v>
      </c>
      <c r="I134" s="7">
        <v>2.0299999999999999E-2</v>
      </c>
      <c r="J134" s="13">
        <v>50.850799999999971</v>
      </c>
      <c r="K134" s="7">
        <v>8.763E-2</v>
      </c>
      <c r="L134" s="3" t="s">
        <v>10</v>
      </c>
      <c r="M134" s="3" t="s">
        <v>23</v>
      </c>
    </row>
    <row r="135" spans="1:13" ht="15.6" x14ac:dyDescent="0.3">
      <c r="A135" s="1">
        <v>135</v>
      </c>
      <c r="B135" s="7">
        <v>28.137931034482758</v>
      </c>
      <c r="C135" s="13">
        <v>103.44827586206897</v>
      </c>
      <c r="D135" s="1">
        <v>2</v>
      </c>
      <c r="E135" s="13">
        <v>152.39999999999998</v>
      </c>
      <c r="F135" s="2">
        <v>380.93294399999996</v>
      </c>
      <c r="G135" s="13">
        <f t="shared" si="2"/>
        <v>39.691055999999989</v>
      </c>
      <c r="H135" s="13">
        <v>28.32</v>
      </c>
      <c r="I135" s="7">
        <v>2.46E-2</v>
      </c>
      <c r="J135" s="13">
        <v>36.508944</v>
      </c>
      <c r="K135" s="7">
        <v>5.969E-2</v>
      </c>
      <c r="L135" s="3" t="s">
        <v>10</v>
      </c>
      <c r="M135" s="3" t="s">
        <v>23</v>
      </c>
    </row>
    <row r="136" spans="1:13" ht="15.6" x14ac:dyDescent="0.3">
      <c r="A136" s="1">
        <v>136</v>
      </c>
      <c r="B136" s="7">
        <v>28.550999999999998</v>
      </c>
      <c r="C136" s="13">
        <v>103.44827586206897</v>
      </c>
      <c r="D136" s="1">
        <v>2</v>
      </c>
      <c r="E136" s="13">
        <v>152.39999999999998</v>
      </c>
      <c r="F136" s="2">
        <v>381.26415999999995</v>
      </c>
      <c r="G136" s="13">
        <f t="shared" si="2"/>
        <v>23.611840000000008</v>
      </c>
      <c r="H136" s="13">
        <v>28.32</v>
      </c>
      <c r="I136" s="7">
        <v>2.58E-2</v>
      </c>
      <c r="J136" s="13">
        <v>52.588159999999981</v>
      </c>
      <c r="K136" s="7">
        <v>0.10540999999999999</v>
      </c>
      <c r="L136" s="3" t="s">
        <v>10</v>
      </c>
      <c r="M136" s="3" t="s">
        <v>23</v>
      </c>
    </row>
    <row r="137" spans="1:13" ht="15.6" x14ac:dyDescent="0.3">
      <c r="A137" s="1">
        <v>137</v>
      </c>
      <c r="B137" s="7">
        <v>27.241379310344829</v>
      </c>
      <c r="C137" s="13">
        <v>103.44827586206897</v>
      </c>
      <c r="D137" s="1">
        <v>2</v>
      </c>
      <c r="E137" s="13">
        <v>152.39999999999998</v>
      </c>
      <c r="F137" s="2">
        <v>381.26415999999995</v>
      </c>
      <c r="G137" s="13">
        <f t="shared" si="2"/>
        <v>23.611840000000008</v>
      </c>
      <c r="H137" s="13">
        <v>28.32</v>
      </c>
      <c r="I137" s="7">
        <v>2.58E-2</v>
      </c>
      <c r="J137" s="13">
        <v>52.588159999999981</v>
      </c>
      <c r="K137" s="7">
        <v>7.6707999999999998E-2</v>
      </c>
      <c r="L137" s="3" t="s">
        <v>10</v>
      </c>
      <c r="M137" s="3" t="s">
        <v>23</v>
      </c>
    </row>
    <row r="138" spans="1:13" ht="15.6" x14ac:dyDescent="0.3">
      <c r="A138" s="1">
        <v>138</v>
      </c>
      <c r="B138" s="7">
        <v>28.551724137931036</v>
      </c>
      <c r="C138" s="13">
        <v>103.44827586206897</v>
      </c>
      <c r="D138" s="1">
        <v>2</v>
      </c>
      <c r="E138" s="13">
        <v>152.39999999999998</v>
      </c>
      <c r="F138" s="2">
        <v>381.26415999999995</v>
      </c>
      <c r="G138" s="13">
        <f t="shared" si="2"/>
        <v>23.611840000000008</v>
      </c>
      <c r="H138" s="13">
        <v>28.32</v>
      </c>
      <c r="I138" s="7">
        <v>2.58E-2</v>
      </c>
      <c r="J138" s="13">
        <v>52.588159999999981</v>
      </c>
      <c r="K138" s="7">
        <v>7.4167999999999998E-2</v>
      </c>
      <c r="L138" s="3" t="s">
        <v>10</v>
      </c>
      <c r="M138" s="3" t="s">
        <v>23</v>
      </c>
    </row>
    <row r="139" spans="1:13" ht="15.6" x14ac:dyDescent="0.3">
      <c r="A139" s="1">
        <v>139</v>
      </c>
      <c r="B139" s="13">
        <v>24.413793103448278</v>
      </c>
      <c r="C139" s="13">
        <v>103.44827586206897</v>
      </c>
      <c r="D139" s="1">
        <v>2</v>
      </c>
      <c r="E139" s="13">
        <v>152.39999999999998</v>
      </c>
      <c r="F139" s="2">
        <v>381.26415999999995</v>
      </c>
      <c r="G139" s="13">
        <f t="shared" si="2"/>
        <v>23.611840000000008</v>
      </c>
      <c r="H139" s="13">
        <v>28.32</v>
      </c>
      <c r="I139" s="7">
        <v>2.58E-2</v>
      </c>
      <c r="J139" s="13">
        <v>52.588159999999981</v>
      </c>
      <c r="K139" s="13">
        <v>7.4167999999999998E-2</v>
      </c>
      <c r="L139" s="3" t="s">
        <v>10</v>
      </c>
      <c r="M139" s="3" t="s">
        <v>23</v>
      </c>
    </row>
    <row r="140" spans="1:13" ht="15.6" x14ac:dyDescent="0.3">
      <c r="A140" s="1">
        <v>140</v>
      </c>
      <c r="B140" s="13">
        <v>27.310344827586206</v>
      </c>
      <c r="C140" s="13">
        <v>103.44827586206897</v>
      </c>
      <c r="D140" s="1">
        <v>1</v>
      </c>
      <c r="E140" s="13">
        <v>152.39999999999998</v>
      </c>
      <c r="F140" s="2">
        <v>583.88808799999993</v>
      </c>
      <c r="G140" s="13">
        <f t="shared" si="2"/>
        <v>44.311823999999987</v>
      </c>
      <c r="H140" s="13">
        <v>31.87</v>
      </c>
      <c r="I140" s="7">
        <v>1.01E-2</v>
      </c>
      <c r="J140" s="13">
        <v>54.044087999999995</v>
      </c>
      <c r="K140" s="13">
        <v>8.4073999999999996E-2</v>
      </c>
      <c r="L140" s="3" t="s">
        <v>10</v>
      </c>
      <c r="M140" s="3" t="s">
        <v>23</v>
      </c>
    </row>
    <row r="141" spans="1:13" ht="15.6" x14ac:dyDescent="0.3">
      <c r="A141" s="1">
        <v>141</v>
      </c>
      <c r="B141" s="7">
        <v>24.96551724137931</v>
      </c>
      <c r="C141" s="13">
        <v>103.44827586206897</v>
      </c>
      <c r="D141" s="1">
        <v>1</v>
      </c>
      <c r="E141" s="13">
        <v>152.39999999999998</v>
      </c>
      <c r="F141" s="2">
        <v>583.88808799999993</v>
      </c>
      <c r="G141" s="13">
        <f t="shared" si="2"/>
        <v>44.311823999999987</v>
      </c>
      <c r="H141" s="13">
        <v>31.87</v>
      </c>
      <c r="I141" s="7">
        <v>1.01E-2</v>
      </c>
      <c r="J141" s="13">
        <v>54.044087999999995</v>
      </c>
      <c r="K141" s="7">
        <v>0.10185399999999999</v>
      </c>
      <c r="L141" s="3" t="s">
        <v>10</v>
      </c>
      <c r="M141" s="3" t="s">
        <v>23</v>
      </c>
    </row>
    <row r="142" spans="1:13" ht="15.6" x14ac:dyDescent="0.3">
      <c r="A142" s="1">
        <v>142</v>
      </c>
      <c r="B142" s="7">
        <v>27.103448275862068</v>
      </c>
      <c r="C142" s="13">
        <v>103.44827586206897</v>
      </c>
      <c r="D142" s="1">
        <v>1</v>
      </c>
      <c r="E142" s="13">
        <v>152.39999999999998</v>
      </c>
      <c r="F142" s="2">
        <v>584.19745999999998</v>
      </c>
      <c r="G142" s="13">
        <f t="shared" si="2"/>
        <v>15.245080000000002</v>
      </c>
      <c r="H142" s="13">
        <v>35.81</v>
      </c>
      <c r="I142" s="7">
        <v>1.2800000000000001E-2</v>
      </c>
      <c r="J142" s="13">
        <v>68.577459999999988</v>
      </c>
      <c r="K142" s="7">
        <v>2.8955999999999996E-2</v>
      </c>
      <c r="L142" s="3" t="s">
        <v>10</v>
      </c>
      <c r="M142" s="3" t="s">
        <v>23</v>
      </c>
    </row>
    <row r="143" spans="1:13" ht="15.6" x14ac:dyDescent="0.3">
      <c r="A143" s="1">
        <v>143</v>
      </c>
      <c r="B143" s="7">
        <v>25.172413793103448</v>
      </c>
      <c r="C143" s="13">
        <v>103.44827586206897</v>
      </c>
      <c r="D143" s="1">
        <v>2</v>
      </c>
      <c r="E143" s="13">
        <v>152.39999999999998</v>
      </c>
      <c r="F143" s="2">
        <v>584.53172400000005</v>
      </c>
      <c r="G143" s="13">
        <f t="shared" si="2"/>
        <v>23.544275999999947</v>
      </c>
      <c r="H143" s="13">
        <v>28.32</v>
      </c>
      <c r="I143" s="7">
        <v>1.5900000000000001E-2</v>
      </c>
      <c r="J143" s="13">
        <v>52.655724000000042</v>
      </c>
      <c r="K143" s="7">
        <v>9.1693999999999998E-2</v>
      </c>
      <c r="L143" s="3" t="s">
        <v>10</v>
      </c>
      <c r="M143" s="3" t="s">
        <v>23</v>
      </c>
    </row>
    <row r="144" spans="1:13" ht="15.6" x14ac:dyDescent="0.3">
      <c r="A144" s="1">
        <v>144</v>
      </c>
      <c r="B144" s="7">
        <v>24.551724137931036</v>
      </c>
      <c r="C144" s="13">
        <v>103.44827586206897</v>
      </c>
      <c r="D144" s="1">
        <v>2</v>
      </c>
      <c r="E144" s="13">
        <v>152.39999999999998</v>
      </c>
      <c r="F144" s="2">
        <v>584.53172400000005</v>
      </c>
      <c r="G144" s="13">
        <f t="shared" si="2"/>
        <v>23.544275999999947</v>
      </c>
      <c r="H144" s="13">
        <v>28.32</v>
      </c>
      <c r="I144" s="7">
        <v>1.5900000000000001E-2</v>
      </c>
      <c r="J144" s="13">
        <v>52.655724000000042</v>
      </c>
      <c r="K144" s="7">
        <v>8.4328E-2</v>
      </c>
      <c r="L144" s="3" t="s">
        <v>10</v>
      </c>
      <c r="M144" s="3" t="s">
        <v>23</v>
      </c>
    </row>
    <row r="145" spans="1:13" ht="15.6" x14ac:dyDescent="0.3">
      <c r="A145" s="1">
        <v>145</v>
      </c>
      <c r="B145" s="7">
        <v>24.758620689655171</v>
      </c>
      <c r="C145" s="13">
        <v>103.44827586206897</v>
      </c>
      <c r="D145" s="1">
        <v>2</v>
      </c>
      <c r="E145" s="13">
        <v>152.39999999999998</v>
      </c>
      <c r="F145" s="2">
        <v>584.32191999999998</v>
      </c>
      <c r="G145" s="13">
        <f t="shared" si="2"/>
        <v>20.198080000000026</v>
      </c>
      <c r="H145" s="13">
        <v>35.81</v>
      </c>
      <c r="I145" s="7">
        <v>2.5000000000000001E-2</v>
      </c>
      <c r="J145" s="13">
        <v>56.001919999999963</v>
      </c>
      <c r="K145" s="7">
        <v>8.6359999999999992E-2</v>
      </c>
      <c r="L145" s="3" t="s">
        <v>10</v>
      </c>
      <c r="M145" s="3" t="s">
        <v>23</v>
      </c>
    </row>
    <row r="146" spans="1:13" ht="15.6" x14ac:dyDescent="0.3">
      <c r="A146" s="1">
        <v>146</v>
      </c>
      <c r="B146" s="7">
        <v>27.862068965517242</v>
      </c>
      <c r="C146" s="13">
        <v>103.44827586206897</v>
      </c>
      <c r="D146" s="1">
        <v>2</v>
      </c>
      <c r="E146" s="13">
        <v>152.39999999999998</v>
      </c>
      <c r="F146" s="2">
        <v>584.32191999999998</v>
      </c>
      <c r="G146" s="13">
        <f t="shared" si="2"/>
        <v>20.198080000000026</v>
      </c>
      <c r="H146" s="13">
        <v>35.81</v>
      </c>
      <c r="I146" s="7">
        <v>2.5000000000000001E-2</v>
      </c>
      <c r="J146" s="13">
        <v>56.001919999999963</v>
      </c>
      <c r="K146" s="7">
        <v>0.12445999999999999</v>
      </c>
      <c r="L146" s="3" t="s">
        <v>10</v>
      </c>
      <c r="M146" s="3" t="s">
        <v>23</v>
      </c>
    </row>
    <row r="147" spans="1:13" ht="15.6" x14ac:dyDescent="0.3">
      <c r="A147" s="1">
        <v>147</v>
      </c>
      <c r="B147" s="7">
        <v>26.620689655172413</v>
      </c>
      <c r="C147" s="13">
        <v>137.93103448275863</v>
      </c>
      <c r="D147" s="1">
        <v>2</v>
      </c>
      <c r="E147" s="13">
        <v>152.39999999999998</v>
      </c>
      <c r="F147" s="2">
        <v>381.05079999999992</v>
      </c>
      <c r="G147" s="13">
        <f t="shared" si="2"/>
        <v>25.349200000000017</v>
      </c>
      <c r="H147" s="13">
        <v>25.4</v>
      </c>
      <c r="I147" s="7">
        <v>2.0299999999999999E-2</v>
      </c>
      <c r="J147" s="13">
        <v>50.850799999999971</v>
      </c>
      <c r="K147" s="7">
        <v>0.21844</v>
      </c>
      <c r="L147" s="3" t="s">
        <v>10</v>
      </c>
      <c r="M147" s="3" t="s">
        <v>23</v>
      </c>
    </row>
    <row r="148" spans="1:13" ht="15.6" x14ac:dyDescent="0.3">
      <c r="A148" s="1">
        <v>148</v>
      </c>
      <c r="B148" s="7">
        <v>26.689655172413794</v>
      </c>
      <c r="C148" s="13">
        <v>137.93103448275863</v>
      </c>
      <c r="D148" s="1">
        <v>2</v>
      </c>
      <c r="E148" s="13">
        <v>152.39999999999998</v>
      </c>
      <c r="F148" s="2">
        <v>381.05079999999992</v>
      </c>
      <c r="G148" s="13">
        <f t="shared" si="2"/>
        <v>25.349200000000017</v>
      </c>
      <c r="H148" s="13">
        <v>25.4</v>
      </c>
      <c r="I148" s="7">
        <v>2.0299999999999999E-2</v>
      </c>
      <c r="J148" s="13">
        <v>50.850799999999971</v>
      </c>
      <c r="K148" s="7">
        <v>0.13080999999999998</v>
      </c>
      <c r="L148" s="3" t="s">
        <v>10</v>
      </c>
      <c r="M148" s="3" t="s">
        <v>23</v>
      </c>
    </row>
    <row r="149" spans="1:13" ht="15.6" x14ac:dyDescent="0.3">
      <c r="A149" s="1">
        <v>149</v>
      </c>
      <c r="B149" s="7">
        <v>28.137931034482758</v>
      </c>
      <c r="C149" s="13">
        <v>137.93103448275863</v>
      </c>
      <c r="D149" s="1">
        <v>2</v>
      </c>
      <c r="E149" s="13">
        <v>152.39999999999998</v>
      </c>
      <c r="F149" s="2">
        <v>380.93294399999996</v>
      </c>
      <c r="G149" s="13">
        <f t="shared" si="2"/>
        <v>39.691055999999989</v>
      </c>
      <c r="H149" s="13">
        <v>28.32</v>
      </c>
      <c r="I149" s="7">
        <v>2.46E-2</v>
      </c>
      <c r="J149" s="13">
        <v>36.508944</v>
      </c>
      <c r="K149" s="7">
        <v>8.6867999999999987E-2</v>
      </c>
      <c r="L149" s="3" t="s">
        <v>10</v>
      </c>
      <c r="M149" s="3" t="s">
        <v>23</v>
      </c>
    </row>
    <row r="150" spans="1:13" ht="15.6" x14ac:dyDescent="0.3">
      <c r="A150" s="1">
        <v>150</v>
      </c>
      <c r="B150" s="7">
        <v>28.550999999999998</v>
      </c>
      <c r="C150" s="13">
        <v>137.93103448275863</v>
      </c>
      <c r="D150" s="1">
        <v>2</v>
      </c>
      <c r="E150" s="13">
        <v>152.39999999999998</v>
      </c>
      <c r="F150" s="2">
        <v>381.26415999999995</v>
      </c>
      <c r="G150" s="13">
        <f t="shared" si="2"/>
        <v>23.611840000000008</v>
      </c>
      <c r="H150" s="13">
        <v>28.32</v>
      </c>
      <c r="I150" s="7">
        <v>2.58E-2</v>
      </c>
      <c r="J150" s="13">
        <v>52.588159999999981</v>
      </c>
      <c r="K150" s="7">
        <v>0.140462</v>
      </c>
      <c r="L150" s="3" t="s">
        <v>10</v>
      </c>
      <c r="M150" s="3" t="s">
        <v>23</v>
      </c>
    </row>
    <row r="151" spans="1:13" ht="15.6" x14ac:dyDescent="0.3">
      <c r="A151" s="1">
        <v>151</v>
      </c>
      <c r="B151" s="7">
        <v>27.241379310344829</v>
      </c>
      <c r="C151" s="13">
        <v>137.93103448275863</v>
      </c>
      <c r="D151" s="1">
        <v>2</v>
      </c>
      <c r="E151" s="13">
        <v>152.39999999999998</v>
      </c>
      <c r="F151" s="2">
        <v>381.26415999999995</v>
      </c>
      <c r="G151" s="13">
        <f t="shared" si="2"/>
        <v>23.611840000000008</v>
      </c>
      <c r="H151" s="13">
        <v>28.32</v>
      </c>
      <c r="I151" s="7">
        <v>2.58E-2</v>
      </c>
      <c r="J151" s="13">
        <v>52.588159999999981</v>
      </c>
      <c r="K151" s="7">
        <v>0.10388599999999999</v>
      </c>
      <c r="L151" s="3" t="s">
        <v>10</v>
      </c>
      <c r="M151" s="3" t="s">
        <v>23</v>
      </c>
    </row>
    <row r="152" spans="1:13" ht="15.6" x14ac:dyDescent="0.3">
      <c r="A152" s="1">
        <v>152</v>
      </c>
      <c r="B152" s="7">
        <v>28.551724137931036</v>
      </c>
      <c r="C152" s="13">
        <v>137.93103448275863</v>
      </c>
      <c r="D152" s="1">
        <v>2</v>
      </c>
      <c r="E152" s="13">
        <v>152.39999999999998</v>
      </c>
      <c r="F152" s="2">
        <v>381.26415999999995</v>
      </c>
      <c r="G152" s="13">
        <f t="shared" si="2"/>
        <v>23.611840000000008</v>
      </c>
      <c r="H152" s="13">
        <v>28.32</v>
      </c>
      <c r="I152" s="7">
        <v>2.58E-2</v>
      </c>
      <c r="J152" s="13">
        <v>52.588159999999981</v>
      </c>
      <c r="K152" s="7">
        <v>0.112776</v>
      </c>
      <c r="L152" s="3" t="s">
        <v>10</v>
      </c>
      <c r="M152" s="3" t="s">
        <v>23</v>
      </c>
    </row>
    <row r="153" spans="1:13" ht="15.6" x14ac:dyDescent="0.3">
      <c r="A153" s="1">
        <v>153</v>
      </c>
      <c r="B153" s="13">
        <v>24.413793103448278</v>
      </c>
      <c r="C153" s="13">
        <v>137.93103448275863</v>
      </c>
      <c r="D153" s="1">
        <v>2</v>
      </c>
      <c r="E153" s="13">
        <v>152.39999999999998</v>
      </c>
      <c r="F153" s="2">
        <v>381.26415999999995</v>
      </c>
      <c r="G153" s="13">
        <f t="shared" si="2"/>
        <v>23.611840000000008</v>
      </c>
      <c r="H153" s="13">
        <v>28.32</v>
      </c>
      <c r="I153" s="7">
        <v>2.58E-2</v>
      </c>
      <c r="J153" s="13">
        <v>52.588159999999981</v>
      </c>
      <c r="K153" s="13">
        <v>0.102616</v>
      </c>
      <c r="L153" s="3" t="s">
        <v>10</v>
      </c>
      <c r="M153" s="3" t="s">
        <v>23</v>
      </c>
    </row>
    <row r="154" spans="1:13" ht="15.6" x14ac:dyDescent="0.3">
      <c r="A154" s="1">
        <v>154</v>
      </c>
      <c r="B154" s="13">
        <v>27.310344827586206</v>
      </c>
      <c r="C154" s="13">
        <v>137.93103448275863</v>
      </c>
      <c r="D154" s="1">
        <v>1</v>
      </c>
      <c r="E154" s="13">
        <v>152.39999999999998</v>
      </c>
      <c r="F154" s="2">
        <v>583.88808799999993</v>
      </c>
      <c r="G154" s="13">
        <f t="shared" si="2"/>
        <v>44.311823999999987</v>
      </c>
      <c r="H154" s="13">
        <v>31.87</v>
      </c>
      <c r="I154" s="7">
        <v>1.01E-2</v>
      </c>
      <c r="J154" s="13">
        <v>54.044087999999995</v>
      </c>
      <c r="K154" s="13">
        <v>0.16281399999999999</v>
      </c>
      <c r="L154" s="3" t="s">
        <v>10</v>
      </c>
      <c r="M154" s="3" t="s">
        <v>23</v>
      </c>
    </row>
    <row r="155" spans="1:13" ht="15.6" x14ac:dyDescent="0.3">
      <c r="A155" s="1">
        <v>155</v>
      </c>
      <c r="B155" s="7">
        <v>24.96551724137931</v>
      </c>
      <c r="C155" s="13">
        <v>137.93103448275863</v>
      </c>
      <c r="D155" s="1">
        <v>1</v>
      </c>
      <c r="E155" s="13">
        <v>152.39999999999998</v>
      </c>
      <c r="F155" s="2">
        <v>583.88808799999993</v>
      </c>
      <c r="G155" s="13">
        <f t="shared" si="2"/>
        <v>44.311823999999987</v>
      </c>
      <c r="H155" s="13">
        <v>31.87</v>
      </c>
      <c r="I155" s="7">
        <v>1.01E-2</v>
      </c>
      <c r="J155" s="13">
        <v>54.044087999999995</v>
      </c>
      <c r="K155" s="7">
        <v>0.16078199999999998</v>
      </c>
      <c r="L155" s="3" t="s">
        <v>10</v>
      </c>
      <c r="M155" s="3" t="s">
        <v>23</v>
      </c>
    </row>
    <row r="156" spans="1:13" ht="15.6" x14ac:dyDescent="0.3">
      <c r="A156" s="1">
        <v>156</v>
      </c>
      <c r="B156" s="7">
        <v>27.103448275862068</v>
      </c>
      <c r="C156" s="13">
        <v>137.93103448275863</v>
      </c>
      <c r="D156" s="1">
        <v>1</v>
      </c>
      <c r="E156" s="13">
        <v>152.39999999999998</v>
      </c>
      <c r="F156" s="2">
        <v>584.19745999999998</v>
      </c>
      <c r="G156" s="13">
        <f t="shared" si="2"/>
        <v>15.245080000000002</v>
      </c>
      <c r="H156" s="13">
        <v>35.81</v>
      </c>
      <c r="I156" s="7">
        <v>1.2800000000000001E-2</v>
      </c>
      <c r="J156" s="13">
        <v>68.577459999999988</v>
      </c>
      <c r="K156" s="7">
        <v>0.17500599999999999</v>
      </c>
      <c r="L156" s="3" t="s">
        <v>10</v>
      </c>
      <c r="M156" s="3" t="s">
        <v>23</v>
      </c>
    </row>
    <row r="157" spans="1:13" ht="15.6" x14ac:dyDescent="0.3">
      <c r="A157" s="1">
        <v>157</v>
      </c>
      <c r="B157" s="7">
        <v>25.172413793103448</v>
      </c>
      <c r="C157" s="13">
        <v>137.93103448275863</v>
      </c>
      <c r="D157" s="1">
        <v>2</v>
      </c>
      <c r="E157" s="13">
        <v>152.39999999999998</v>
      </c>
      <c r="F157" s="2">
        <v>584.53172400000005</v>
      </c>
      <c r="G157" s="13">
        <f t="shared" si="2"/>
        <v>23.544275999999947</v>
      </c>
      <c r="H157" s="13">
        <v>28.32</v>
      </c>
      <c r="I157" s="7">
        <v>1.5900000000000001E-2</v>
      </c>
      <c r="J157" s="13">
        <v>52.655724000000042</v>
      </c>
      <c r="K157" s="7">
        <v>8.204199999999999E-2</v>
      </c>
      <c r="L157" s="3" t="s">
        <v>10</v>
      </c>
      <c r="M157" s="3" t="s">
        <v>23</v>
      </c>
    </row>
    <row r="158" spans="1:13" ht="15.6" x14ac:dyDescent="0.3">
      <c r="A158" s="1">
        <v>158</v>
      </c>
      <c r="B158" s="7">
        <v>24.551724137931036</v>
      </c>
      <c r="C158" s="13">
        <v>137.93103448275863</v>
      </c>
      <c r="D158" s="1">
        <v>2</v>
      </c>
      <c r="E158" s="13">
        <v>152.39999999999998</v>
      </c>
      <c r="F158" s="2">
        <v>584.53172400000005</v>
      </c>
      <c r="G158" s="13">
        <f t="shared" si="2"/>
        <v>23.544275999999947</v>
      </c>
      <c r="H158" s="13">
        <v>28.32</v>
      </c>
      <c r="I158" s="7">
        <v>1.5900000000000001E-2</v>
      </c>
      <c r="J158" s="13">
        <v>52.655724000000042</v>
      </c>
      <c r="K158" s="7">
        <v>9.3726000000000004E-2</v>
      </c>
      <c r="L158" s="3" t="s">
        <v>10</v>
      </c>
      <c r="M158" s="3" t="s">
        <v>23</v>
      </c>
    </row>
    <row r="159" spans="1:13" ht="15.6" x14ac:dyDescent="0.3">
      <c r="A159" s="1">
        <v>159</v>
      </c>
      <c r="B159" s="7">
        <v>24.758620689655171</v>
      </c>
      <c r="C159" s="13">
        <v>137.93103448275863</v>
      </c>
      <c r="D159" s="1">
        <v>2</v>
      </c>
      <c r="E159" s="13">
        <v>152.39999999999998</v>
      </c>
      <c r="F159" s="2">
        <v>584.32191999999998</v>
      </c>
      <c r="G159" s="13">
        <f t="shared" si="2"/>
        <v>20.198080000000026</v>
      </c>
      <c r="H159" s="13">
        <v>35.81</v>
      </c>
      <c r="I159" s="7">
        <v>2.5000000000000001E-2</v>
      </c>
      <c r="J159" s="13">
        <v>56.001919999999963</v>
      </c>
      <c r="K159" s="7">
        <v>0.12573000000000001</v>
      </c>
      <c r="L159" s="3" t="s">
        <v>10</v>
      </c>
      <c r="M159" s="3" t="s">
        <v>23</v>
      </c>
    </row>
    <row r="160" spans="1:13" ht="15.6" x14ac:dyDescent="0.3">
      <c r="A160" s="1">
        <v>160</v>
      </c>
      <c r="B160" s="7">
        <v>27.862068965517242</v>
      </c>
      <c r="C160" s="13">
        <v>137.93103448275863</v>
      </c>
      <c r="D160" s="1">
        <v>2</v>
      </c>
      <c r="E160" s="13">
        <v>152.39999999999998</v>
      </c>
      <c r="F160" s="2">
        <v>584.32191999999998</v>
      </c>
      <c r="G160" s="13">
        <f t="shared" si="2"/>
        <v>20.198080000000026</v>
      </c>
      <c r="H160" s="13">
        <v>35.81</v>
      </c>
      <c r="I160" s="7">
        <v>2.5000000000000001E-2</v>
      </c>
      <c r="J160" s="13">
        <v>56.001919999999963</v>
      </c>
      <c r="K160" s="7">
        <v>0.18542</v>
      </c>
      <c r="L160" s="3" t="s">
        <v>10</v>
      </c>
      <c r="M160" s="3" t="s">
        <v>23</v>
      </c>
    </row>
    <row r="161" spans="1:13" ht="15.6" x14ac:dyDescent="0.3">
      <c r="A161" s="1">
        <v>161</v>
      </c>
      <c r="B161" s="7">
        <v>26.620689655172413</v>
      </c>
      <c r="C161" s="13">
        <v>172.41379310344828</v>
      </c>
      <c r="D161" s="1">
        <v>2</v>
      </c>
      <c r="E161" s="13">
        <v>152.39999999999998</v>
      </c>
      <c r="F161" s="2">
        <v>381.05079999999992</v>
      </c>
      <c r="G161" s="13">
        <f t="shared" si="2"/>
        <v>25.349200000000017</v>
      </c>
      <c r="H161" s="13">
        <v>25.4</v>
      </c>
      <c r="I161" s="7">
        <v>2.0299999999999999E-2</v>
      </c>
      <c r="J161" s="13">
        <v>50.850799999999971</v>
      </c>
      <c r="K161" s="7">
        <v>0.26746199999999998</v>
      </c>
      <c r="L161" s="3" t="s">
        <v>10</v>
      </c>
      <c r="M161" s="3" t="s">
        <v>23</v>
      </c>
    </row>
    <row r="162" spans="1:13" ht="15.6" x14ac:dyDescent="0.3">
      <c r="A162" s="1">
        <v>162</v>
      </c>
      <c r="B162" s="7">
        <v>26.689655172413794</v>
      </c>
      <c r="C162" s="13">
        <v>172.41379310344828</v>
      </c>
      <c r="D162" s="1">
        <v>2</v>
      </c>
      <c r="E162" s="13">
        <v>152.39999999999998</v>
      </c>
      <c r="F162" s="2">
        <v>381.05079999999992</v>
      </c>
      <c r="G162" s="13">
        <f t="shared" si="2"/>
        <v>25.349200000000017</v>
      </c>
      <c r="H162" s="13">
        <v>25.4</v>
      </c>
      <c r="I162" s="7">
        <v>2.0299999999999999E-2</v>
      </c>
      <c r="J162" s="13">
        <v>50.850799999999971</v>
      </c>
      <c r="K162" s="7">
        <v>0.17526</v>
      </c>
      <c r="L162" s="3" t="s">
        <v>10</v>
      </c>
      <c r="M162" s="3" t="s">
        <v>23</v>
      </c>
    </row>
    <row r="163" spans="1:13" ht="15.6" x14ac:dyDescent="0.3">
      <c r="A163" s="1">
        <v>163</v>
      </c>
      <c r="B163" s="7">
        <v>28.137931034482758</v>
      </c>
      <c r="C163" s="13">
        <v>172.41379310344828</v>
      </c>
      <c r="D163" s="1">
        <v>2</v>
      </c>
      <c r="E163" s="13">
        <v>152.39999999999998</v>
      </c>
      <c r="F163" s="2">
        <v>380.93294399999996</v>
      </c>
      <c r="G163" s="13">
        <f t="shared" si="2"/>
        <v>39.691055999999989</v>
      </c>
      <c r="H163" s="13">
        <v>28.32</v>
      </c>
      <c r="I163" s="7">
        <v>2.46E-2</v>
      </c>
      <c r="J163" s="13">
        <v>36.508944</v>
      </c>
      <c r="K163" s="7">
        <v>0.11531599999999999</v>
      </c>
      <c r="L163" s="3" t="s">
        <v>10</v>
      </c>
      <c r="M163" s="3" t="s">
        <v>23</v>
      </c>
    </row>
    <row r="164" spans="1:13" ht="15.6" x14ac:dyDescent="0.3">
      <c r="A164" s="1">
        <v>164</v>
      </c>
      <c r="B164" s="7">
        <v>28.550999999999998</v>
      </c>
      <c r="C164" s="13">
        <v>172.41379310344828</v>
      </c>
      <c r="D164" s="1">
        <v>2</v>
      </c>
      <c r="E164" s="13">
        <v>152.39999999999998</v>
      </c>
      <c r="F164" s="2">
        <v>381.26415999999995</v>
      </c>
      <c r="G164" s="13">
        <f t="shared" si="2"/>
        <v>23.611840000000008</v>
      </c>
      <c r="H164" s="13">
        <v>28.32</v>
      </c>
      <c r="I164" s="7">
        <v>2.58E-2</v>
      </c>
      <c r="J164" s="13">
        <v>52.588159999999981</v>
      </c>
      <c r="K164" s="7">
        <v>0.17018</v>
      </c>
      <c r="L164" s="3" t="s">
        <v>10</v>
      </c>
      <c r="M164" s="3" t="s">
        <v>23</v>
      </c>
    </row>
    <row r="165" spans="1:13" ht="15.6" x14ac:dyDescent="0.3">
      <c r="A165" s="1">
        <v>165</v>
      </c>
      <c r="B165" s="7">
        <v>27.241379310344829</v>
      </c>
      <c r="C165" s="13">
        <v>172.41379310344828</v>
      </c>
      <c r="D165" s="1">
        <v>2</v>
      </c>
      <c r="E165" s="13">
        <v>152.39999999999998</v>
      </c>
      <c r="F165" s="2">
        <v>381.26415999999995</v>
      </c>
      <c r="G165" s="13">
        <f t="shared" si="2"/>
        <v>23.611840000000008</v>
      </c>
      <c r="H165" s="13">
        <v>28.32</v>
      </c>
      <c r="I165" s="7">
        <v>2.58E-2</v>
      </c>
      <c r="J165" s="13">
        <v>52.588159999999981</v>
      </c>
      <c r="K165" s="7">
        <v>0.13639799999999999</v>
      </c>
      <c r="L165" s="3" t="s">
        <v>10</v>
      </c>
      <c r="M165" s="3" t="s">
        <v>23</v>
      </c>
    </row>
    <row r="166" spans="1:13" ht="15.6" x14ac:dyDescent="0.3">
      <c r="A166" s="1">
        <v>166</v>
      </c>
      <c r="B166" s="7">
        <v>28.551724137931036</v>
      </c>
      <c r="C166" s="13">
        <v>172.41379310344828</v>
      </c>
      <c r="D166" s="1">
        <v>2</v>
      </c>
      <c r="E166" s="13">
        <v>152.39999999999998</v>
      </c>
      <c r="F166" s="2">
        <v>381.26415999999995</v>
      </c>
      <c r="G166" s="13">
        <f t="shared" si="2"/>
        <v>23.611840000000008</v>
      </c>
      <c r="H166" s="13">
        <v>28.32</v>
      </c>
      <c r="I166" s="7">
        <v>2.58E-2</v>
      </c>
      <c r="J166" s="13">
        <v>52.588159999999981</v>
      </c>
      <c r="K166" s="7">
        <v>0.14960599999999999</v>
      </c>
      <c r="L166" s="3" t="s">
        <v>10</v>
      </c>
      <c r="M166" s="3" t="s">
        <v>23</v>
      </c>
    </row>
    <row r="167" spans="1:13" ht="15.6" x14ac:dyDescent="0.3">
      <c r="A167" s="1">
        <v>167</v>
      </c>
      <c r="B167" s="13">
        <v>24.413793103448278</v>
      </c>
      <c r="C167" s="13">
        <v>172.41379310344828</v>
      </c>
      <c r="D167" s="1">
        <v>2</v>
      </c>
      <c r="E167" s="13">
        <v>152.39999999999998</v>
      </c>
      <c r="F167" s="2">
        <v>381.26415999999995</v>
      </c>
      <c r="G167" s="13">
        <f t="shared" si="2"/>
        <v>23.611840000000008</v>
      </c>
      <c r="H167" s="13">
        <v>28.32</v>
      </c>
      <c r="I167" s="7">
        <v>2.58E-2</v>
      </c>
      <c r="J167" s="13">
        <v>52.588159999999981</v>
      </c>
      <c r="K167" s="13">
        <v>0.13411199999999998</v>
      </c>
      <c r="L167" s="3" t="s">
        <v>10</v>
      </c>
      <c r="M167" s="3" t="s">
        <v>23</v>
      </c>
    </row>
    <row r="168" spans="1:13" ht="15.6" x14ac:dyDescent="0.3">
      <c r="A168" s="1">
        <v>168</v>
      </c>
      <c r="B168" s="13">
        <v>27.310344827586206</v>
      </c>
      <c r="C168" s="13">
        <v>172.41379310344828</v>
      </c>
      <c r="D168" s="1">
        <v>1</v>
      </c>
      <c r="E168" s="13">
        <v>152.39999999999998</v>
      </c>
      <c r="F168" s="2">
        <v>583.88808799999993</v>
      </c>
      <c r="G168" s="13">
        <f t="shared" si="2"/>
        <v>44.311823999999987</v>
      </c>
      <c r="H168" s="13">
        <v>31.87</v>
      </c>
      <c r="I168" s="7">
        <v>1.01E-2</v>
      </c>
      <c r="J168" s="13">
        <v>54.044087999999995</v>
      </c>
      <c r="K168" s="13">
        <v>0.23367999999999997</v>
      </c>
      <c r="L168" s="3" t="s">
        <v>10</v>
      </c>
      <c r="M168" s="3" t="s">
        <v>23</v>
      </c>
    </row>
    <row r="169" spans="1:13" ht="15.6" x14ac:dyDescent="0.3">
      <c r="A169" s="1">
        <v>169</v>
      </c>
      <c r="B169" s="7">
        <v>24.96551724137931</v>
      </c>
      <c r="C169" s="13">
        <v>172.41379310344828</v>
      </c>
      <c r="D169" s="1">
        <v>1</v>
      </c>
      <c r="E169" s="13">
        <v>152.39999999999998</v>
      </c>
      <c r="F169" s="2">
        <v>583.88808799999993</v>
      </c>
      <c r="G169" s="13">
        <f t="shared" si="2"/>
        <v>44.311823999999987</v>
      </c>
      <c r="H169" s="13">
        <v>31.87</v>
      </c>
      <c r="I169" s="7">
        <v>1.01E-2</v>
      </c>
      <c r="J169" s="13">
        <v>54.044087999999995</v>
      </c>
      <c r="K169" s="7">
        <v>0.22504399999999999</v>
      </c>
      <c r="L169" s="3" t="s">
        <v>10</v>
      </c>
      <c r="M169" s="3" t="s">
        <v>23</v>
      </c>
    </row>
    <row r="170" spans="1:13" ht="15.6" x14ac:dyDescent="0.3">
      <c r="A170" s="1">
        <v>170</v>
      </c>
      <c r="B170" s="7">
        <v>27.103448275862068</v>
      </c>
      <c r="C170" s="13">
        <v>172.41379310344828</v>
      </c>
      <c r="D170" s="1">
        <v>1</v>
      </c>
      <c r="E170" s="13">
        <v>152.39999999999998</v>
      </c>
      <c r="F170" s="2">
        <v>584.19745999999998</v>
      </c>
      <c r="G170" s="13">
        <f t="shared" si="2"/>
        <v>15.245080000000002</v>
      </c>
      <c r="H170" s="13">
        <v>35.81</v>
      </c>
      <c r="I170" s="7">
        <v>1.2800000000000001E-2</v>
      </c>
      <c r="J170" s="13">
        <v>68.577459999999988</v>
      </c>
      <c r="K170" s="7">
        <v>0.22453600000000001</v>
      </c>
      <c r="L170" s="3" t="s">
        <v>10</v>
      </c>
      <c r="M170" s="3" t="s">
        <v>23</v>
      </c>
    </row>
    <row r="171" spans="1:13" ht="15.6" x14ac:dyDescent="0.3">
      <c r="A171" s="1">
        <v>171</v>
      </c>
      <c r="B171" s="7">
        <v>25.172413793103448</v>
      </c>
      <c r="C171" s="13">
        <v>172.41379310344828</v>
      </c>
      <c r="D171" s="1">
        <v>2</v>
      </c>
      <c r="E171" s="13">
        <v>152.39999999999998</v>
      </c>
      <c r="F171" s="2">
        <v>584.53172400000005</v>
      </c>
      <c r="G171" s="13">
        <f t="shared" si="2"/>
        <v>23.544275999999947</v>
      </c>
      <c r="H171" s="13">
        <v>28.32</v>
      </c>
      <c r="I171" s="7">
        <v>1.5900000000000001E-2</v>
      </c>
      <c r="J171" s="13">
        <v>52.655724000000042</v>
      </c>
      <c r="K171" s="7">
        <v>0.17830799999999999</v>
      </c>
      <c r="L171" s="3" t="s">
        <v>10</v>
      </c>
      <c r="M171" s="3" t="s">
        <v>23</v>
      </c>
    </row>
    <row r="172" spans="1:13" ht="15.6" x14ac:dyDescent="0.3">
      <c r="A172" s="1">
        <v>172</v>
      </c>
      <c r="B172" s="7">
        <v>24.551724137931036</v>
      </c>
      <c r="C172" s="13">
        <v>172.41379310344828</v>
      </c>
      <c r="D172" s="1">
        <v>2</v>
      </c>
      <c r="E172" s="13">
        <v>152.39999999999998</v>
      </c>
      <c r="F172" s="2">
        <v>584.53172400000005</v>
      </c>
      <c r="G172" s="13">
        <f t="shared" si="2"/>
        <v>23.544275999999947</v>
      </c>
      <c r="H172" s="13">
        <v>28.32</v>
      </c>
      <c r="I172" s="7">
        <v>1.5900000000000001E-2</v>
      </c>
      <c r="J172" s="13">
        <v>52.655724000000042</v>
      </c>
      <c r="K172" s="7">
        <v>0.12928599999999998</v>
      </c>
      <c r="L172" s="3" t="s">
        <v>10</v>
      </c>
      <c r="M172" s="3" t="s">
        <v>23</v>
      </c>
    </row>
    <row r="173" spans="1:13" ht="15.6" x14ac:dyDescent="0.3">
      <c r="A173" s="1">
        <v>173</v>
      </c>
      <c r="B173" s="7">
        <v>24.758620689655171</v>
      </c>
      <c r="C173" s="13">
        <v>172.41379310344828</v>
      </c>
      <c r="D173" s="1">
        <v>2</v>
      </c>
      <c r="E173" s="13">
        <v>152.39999999999998</v>
      </c>
      <c r="F173" s="2">
        <v>584.32191999999998</v>
      </c>
      <c r="G173" s="13">
        <f t="shared" si="2"/>
        <v>20.198080000000026</v>
      </c>
      <c r="H173" s="13">
        <v>35.81</v>
      </c>
      <c r="I173" s="7">
        <v>2.5000000000000001E-2</v>
      </c>
      <c r="J173" s="13">
        <v>56.001919999999963</v>
      </c>
      <c r="K173" s="7">
        <v>0.17144999999999999</v>
      </c>
      <c r="L173" s="3" t="s">
        <v>10</v>
      </c>
      <c r="M173" s="3" t="s">
        <v>23</v>
      </c>
    </row>
    <row r="174" spans="1:13" s="6" customFormat="1" ht="15.6" x14ac:dyDescent="0.3">
      <c r="A174" s="28">
        <v>174</v>
      </c>
      <c r="B174" s="5">
        <v>27.862068965517242</v>
      </c>
      <c r="C174" s="29">
        <v>172.41379310344828</v>
      </c>
      <c r="D174" s="28">
        <v>2</v>
      </c>
      <c r="E174" s="29">
        <v>152.39999999999998</v>
      </c>
      <c r="F174" s="4">
        <v>584.32191999999998</v>
      </c>
      <c r="G174" s="29">
        <f t="shared" si="2"/>
        <v>20.198080000000026</v>
      </c>
      <c r="H174" s="29">
        <v>35.81</v>
      </c>
      <c r="I174" s="5">
        <v>2.5000000000000001E-2</v>
      </c>
      <c r="J174" s="29">
        <v>56.001919999999963</v>
      </c>
      <c r="K174" s="5">
        <v>0.24561799999999998</v>
      </c>
      <c r="L174" s="6" t="s">
        <v>10</v>
      </c>
      <c r="M174" s="6" t="s">
        <v>23</v>
      </c>
    </row>
    <row r="175" spans="1:13" ht="15.6" x14ac:dyDescent="0.3">
      <c r="A175" s="1">
        <v>175</v>
      </c>
      <c r="B175" s="13">
        <v>25.448275862068964</v>
      </c>
      <c r="C175" s="13">
        <v>206.89655172413794</v>
      </c>
      <c r="D175" s="1">
        <v>1</v>
      </c>
      <c r="E175" s="13">
        <v>152.39999999999998</v>
      </c>
      <c r="F175" s="2">
        <v>381.05079999999992</v>
      </c>
      <c r="G175" s="13">
        <f t="shared" si="2"/>
        <v>50.698400000000035</v>
      </c>
      <c r="H175" s="13">
        <v>25.4</v>
      </c>
      <c r="I175" s="7">
        <v>1.01E-2</v>
      </c>
      <c r="J175" s="13">
        <v>50.850799999999971</v>
      </c>
      <c r="K175" s="7">
        <v>0.20904199999999998</v>
      </c>
      <c r="L175" s="3" t="s">
        <v>10</v>
      </c>
      <c r="M175" s="3" t="s">
        <v>23</v>
      </c>
    </row>
    <row r="176" spans="1:13" ht="15.6" x14ac:dyDescent="0.3">
      <c r="A176" s="1">
        <v>176</v>
      </c>
      <c r="B176" s="13">
        <v>25.862068965517242</v>
      </c>
      <c r="C176" s="13">
        <v>206.89655172413794</v>
      </c>
      <c r="D176" s="1">
        <v>1</v>
      </c>
      <c r="E176" s="13">
        <v>152.39999999999998</v>
      </c>
      <c r="F176" s="2">
        <v>381.05079999999992</v>
      </c>
      <c r="G176" s="13">
        <f t="shared" si="2"/>
        <v>50.698400000000035</v>
      </c>
      <c r="H176" s="13">
        <v>25.4</v>
      </c>
      <c r="I176" s="7">
        <v>1.01E-2</v>
      </c>
      <c r="J176" s="13">
        <v>50.850799999999971</v>
      </c>
      <c r="K176" s="7">
        <v>0.20142199999999999</v>
      </c>
      <c r="L176" s="3" t="s">
        <v>10</v>
      </c>
      <c r="M176" s="3" t="s">
        <v>23</v>
      </c>
    </row>
    <row r="177" spans="1:13" ht="15.6" x14ac:dyDescent="0.3">
      <c r="A177" s="1">
        <v>177</v>
      </c>
      <c r="B177" s="13">
        <v>30.068965517241381</v>
      </c>
      <c r="C177" s="13">
        <v>206.89655172413794</v>
      </c>
      <c r="D177" s="1">
        <v>2</v>
      </c>
      <c r="E177" s="13">
        <v>152.39999999999998</v>
      </c>
      <c r="F177" s="2">
        <v>381.31394399999999</v>
      </c>
      <c r="G177" s="13">
        <f t="shared" si="2"/>
        <v>34.738055999999986</v>
      </c>
      <c r="H177" s="13">
        <v>18.824999999999999</v>
      </c>
      <c r="I177" s="7">
        <v>1.0999999999999999E-2</v>
      </c>
      <c r="J177" s="13">
        <v>41.461944000000003</v>
      </c>
      <c r="K177" s="7">
        <v>0.22580600000000001</v>
      </c>
      <c r="L177" s="3" t="s">
        <v>10</v>
      </c>
      <c r="M177" s="3" t="s">
        <v>23</v>
      </c>
    </row>
    <row r="178" spans="1:13" ht="15.6" x14ac:dyDescent="0.3">
      <c r="A178" s="1">
        <v>178</v>
      </c>
      <c r="B178" s="13">
        <v>29.241379310344829</v>
      </c>
      <c r="C178" s="13">
        <v>206.89655172413794</v>
      </c>
      <c r="D178" s="1">
        <v>2</v>
      </c>
      <c r="E178" s="13">
        <v>152.39999999999998</v>
      </c>
      <c r="F178" s="2">
        <v>381.31394399999999</v>
      </c>
      <c r="G178" s="13">
        <f t="shared" si="2"/>
        <v>34.738055999999986</v>
      </c>
      <c r="H178" s="13">
        <v>18.824999999999999</v>
      </c>
      <c r="I178" s="7">
        <v>1.0999999999999999E-2</v>
      </c>
      <c r="J178" s="13">
        <v>41.461944000000003</v>
      </c>
      <c r="K178" s="7">
        <v>0.13614399999999999</v>
      </c>
      <c r="L178" s="3" t="s">
        <v>10</v>
      </c>
      <c r="M178" s="3" t="s">
        <v>23</v>
      </c>
    </row>
    <row r="179" spans="1:13" ht="15.6" x14ac:dyDescent="0.3">
      <c r="A179" s="1">
        <v>179</v>
      </c>
      <c r="B179" s="13">
        <v>27.172413793103448</v>
      </c>
      <c r="C179" s="13">
        <v>206.89655172413794</v>
      </c>
      <c r="D179" s="1">
        <v>2</v>
      </c>
      <c r="E179" s="13">
        <v>152.39999999999998</v>
      </c>
      <c r="F179" s="2">
        <v>380.32182</v>
      </c>
      <c r="G179" s="13">
        <f t="shared" si="2"/>
        <v>28.618179999999981</v>
      </c>
      <c r="H179" s="13">
        <v>18.824999999999999</v>
      </c>
      <c r="I179" s="7">
        <v>1.12E-2</v>
      </c>
      <c r="J179" s="13">
        <v>47.581820000000008</v>
      </c>
      <c r="K179" s="7">
        <v>0.160528</v>
      </c>
      <c r="L179" s="3" t="s">
        <v>10</v>
      </c>
      <c r="M179" s="3" t="s">
        <v>23</v>
      </c>
    </row>
    <row r="180" spans="1:13" ht="15.6" x14ac:dyDescent="0.3">
      <c r="A180" s="1">
        <v>180</v>
      </c>
      <c r="B180" s="13">
        <v>26.827586206896552</v>
      </c>
      <c r="C180" s="13">
        <v>206.89655172413794</v>
      </c>
      <c r="D180" s="1">
        <v>2</v>
      </c>
      <c r="E180" s="13">
        <v>152.39999999999998</v>
      </c>
      <c r="F180" s="2">
        <v>381.05130799999995</v>
      </c>
      <c r="G180" s="13">
        <f t="shared" si="2"/>
        <v>52.272692000000006</v>
      </c>
      <c r="H180" s="13">
        <v>22.22</v>
      </c>
      <c r="I180" s="7">
        <v>1.4200000000000001E-2</v>
      </c>
      <c r="J180" s="13">
        <v>23.927307999999982</v>
      </c>
      <c r="K180" s="7">
        <v>0.11760199999999998</v>
      </c>
      <c r="L180" s="3" t="s">
        <v>10</v>
      </c>
      <c r="M180" s="3" t="s">
        <v>23</v>
      </c>
    </row>
    <row r="181" spans="1:13" ht="15.6" x14ac:dyDescent="0.3">
      <c r="A181" s="1">
        <v>181</v>
      </c>
      <c r="B181" s="13">
        <v>22.413793103448278</v>
      </c>
      <c r="C181" s="13">
        <v>206.89655172413794</v>
      </c>
      <c r="D181" s="1">
        <v>2</v>
      </c>
      <c r="E181" s="13">
        <v>152.39999999999998</v>
      </c>
      <c r="F181" s="2">
        <v>380.81915199999997</v>
      </c>
      <c r="G181" s="13">
        <f t="shared" si="2"/>
        <v>27.104848000000018</v>
      </c>
      <c r="H181" s="13">
        <v>22.22</v>
      </c>
      <c r="I181" s="7">
        <v>1.5299999999999999E-2</v>
      </c>
      <c r="J181" s="13">
        <v>49.09515199999997</v>
      </c>
      <c r="K181" s="7">
        <v>0.18668999999999999</v>
      </c>
      <c r="L181" s="3" t="s">
        <v>10</v>
      </c>
      <c r="M181" s="3" t="s">
        <v>23</v>
      </c>
    </row>
    <row r="182" spans="1:13" ht="15.6" x14ac:dyDescent="0.3">
      <c r="A182" s="1">
        <v>182</v>
      </c>
      <c r="B182" s="13">
        <v>29.517241379310345</v>
      </c>
      <c r="C182" s="13">
        <v>206.89655172413794</v>
      </c>
      <c r="D182" s="1">
        <v>2</v>
      </c>
      <c r="E182" s="13">
        <v>152.39999999999998</v>
      </c>
      <c r="F182" s="2">
        <v>380.81915199999997</v>
      </c>
      <c r="G182" s="13">
        <f t="shared" si="2"/>
        <v>27.104848000000018</v>
      </c>
      <c r="H182" s="13">
        <v>22.22</v>
      </c>
      <c r="I182" s="7">
        <v>1.3299999999999999E-2</v>
      </c>
      <c r="J182" s="13">
        <v>49.09515199999997</v>
      </c>
      <c r="K182" s="7">
        <v>0.141732</v>
      </c>
      <c r="L182" s="3" t="s">
        <v>10</v>
      </c>
      <c r="M182" s="3" t="s">
        <v>23</v>
      </c>
    </row>
    <row r="183" spans="1:13" ht="15.6" x14ac:dyDescent="0.3">
      <c r="A183" s="1">
        <v>183</v>
      </c>
      <c r="B183" s="13">
        <v>29.03448275862069</v>
      </c>
      <c r="C183" s="13">
        <v>206.89655172413794</v>
      </c>
      <c r="D183" s="1">
        <v>2</v>
      </c>
      <c r="E183" s="13">
        <v>152.39999999999998</v>
      </c>
      <c r="F183" s="2">
        <v>380.81915199999997</v>
      </c>
      <c r="G183" s="13">
        <f t="shared" si="2"/>
        <v>27.104848000000018</v>
      </c>
      <c r="H183" s="13">
        <v>22.22</v>
      </c>
      <c r="I183" s="7">
        <v>1.5299999999999999E-2</v>
      </c>
      <c r="J183" s="13">
        <v>49.09515199999997</v>
      </c>
      <c r="K183" s="7">
        <v>0.18313399999999999</v>
      </c>
      <c r="L183" s="3" t="s">
        <v>10</v>
      </c>
      <c r="M183" s="3" t="s">
        <v>23</v>
      </c>
    </row>
    <row r="184" spans="1:13" ht="15.6" x14ac:dyDescent="0.3">
      <c r="A184" s="1">
        <v>184</v>
      </c>
      <c r="B184" s="13">
        <v>27.862068965517242</v>
      </c>
      <c r="C184" s="13">
        <v>206.89655172413794</v>
      </c>
      <c r="D184" s="1">
        <v>2</v>
      </c>
      <c r="E184" s="13">
        <v>152.39999999999998</v>
      </c>
      <c r="F184" s="2">
        <v>380.81915199999997</v>
      </c>
      <c r="G184" s="13">
        <f t="shared" si="2"/>
        <v>27.104848000000018</v>
      </c>
      <c r="H184" s="13">
        <v>22.22</v>
      </c>
      <c r="I184" s="7">
        <v>1.5299999999999999E-2</v>
      </c>
      <c r="J184" s="13">
        <v>49.09515199999997</v>
      </c>
      <c r="K184" s="7">
        <v>0.24942800000000001</v>
      </c>
      <c r="L184" s="3" t="s">
        <v>10</v>
      </c>
      <c r="M184" s="3" t="s">
        <v>23</v>
      </c>
    </row>
    <row r="185" spans="1:13" ht="15.6" x14ac:dyDescent="0.3">
      <c r="A185" s="1">
        <v>185</v>
      </c>
      <c r="B185" s="13">
        <v>24.620689655172413</v>
      </c>
      <c r="C185" s="13">
        <v>206.89655172413794</v>
      </c>
      <c r="D185" s="1">
        <v>1</v>
      </c>
      <c r="E185" s="13">
        <v>152.39999999999998</v>
      </c>
      <c r="F185" s="2">
        <v>380.86690399999998</v>
      </c>
      <c r="G185" s="13">
        <f t="shared" si="2"/>
        <v>43.954191999999978</v>
      </c>
      <c r="H185" s="13">
        <v>31.87</v>
      </c>
      <c r="I185" s="7">
        <v>1.6500000000000001E-2</v>
      </c>
      <c r="J185" s="13">
        <v>54.222904</v>
      </c>
      <c r="K185" s="7">
        <v>0.26593800000000001</v>
      </c>
      <c r="L185" s="3" t="s">
        <v>10</v>
      </c>
      <c r="M185" s="3" t="s">
        <v>23</v>
      </c>
    </row>
    <row r="186" spans="1:13" ht="15.6" x14ac:dyDescent="0.3">
      <c r="A186" s="1">
        <v>186</v>
      </c>
      <c r="B186" s="13">
        <v>28.689655172413794</v>
      </c>
      <c r="C186" s="13">
        <v>206.89655172413794</v>
      </c>
      <c r="D186" s="1">
        <v>1</v>
      </c>
      <c r="E186" s="13">
        <v>152.39999999999998</v>
      </c>
      <c r="F186" s="2">
        <v>380.86690399999998</v>
      </c>
      <c r="G186" s="13">
        <f t="shared" si="2"/>
        <v>43.954191999999978</v>
      </c>
      <c r="H186" s="13">
        <v>31.87</v>
      </c>
      <c r="I186" s="7">
        <v>2.0299999999999999E-2</v>
      </c>
      <c r="J186" s="13">
        <v>54.222904</v>
      </c>
      <c r="K186" s="7">
        <v>0.28701999999999994</v>
      </c>
      <c r="L186" s="3" t="s">
        <v>10</v>
      </c>
      <c r="M186" s="3" t="s">
        <v>23</v>
      </c>
    </row>
    <row r="187" spans="1:13" ht="15.6" x14ac:dyDescent="0.3">
      <c r="A187" s="1">
        <v>187</v>
      </c>
      <c r="B187" s="13">
        <v>26.620689655172413</v>
      </c>
      <c r="C187" s="13">
        <v>206.89655172413794</v>
      </c>
      <c r="D187" s="1">
        <v>2</v>
      </c>
      <c r="E187" s="13">
        <v>152.39999999999998</v>
      </c>
      <c r="F187" s="2">
        <v>381.05079999999992</v>
      </c>
      <c r="G187" s="13">
        <f t="shared" si="2"/>
        <v>25.349200000000017</v>
      </c>
      <c r="H187" s="13">
        <v>25.4</v>
      </c>
      <c r="I187" s="7">
        <v>2.0299999999999999E-2</v>
      </c>
      <c r="J187" s="13">
        <v>50.850799999999971</v>
      </c>
      <c r="K187" s="7">
        <v>0.315722</v>
      </c>
      <c r="L187" s="3" t="s">
        <v>10</v>
      </c>
      <c r="M187" s="3" t="s">
        <v>23</v>
      </c>
    </row>
    <row r="188" spans="1:13" ht="15.6" x14ac:dyDescent="0.3">
      <c r="A188" s="1">
        <v>188</v>
      </c>
      <c r="B188" s="13">
        <v>26.689655172413794</v>
      </c>
      <c r="C188" s="13">
        <v>206.89655172413794</v>
      </c>
      <c r="D188" s="1">
        <v>2</v>
      </c>
      <c r="E188" s="13">
        <v>152.39999999999998</v>
      </c>
      <c r="F188" s="2">
        <v>381.05079999999992</v>
      </c>
      <c r="G188" s="13">
        <f t="shared" si="2"/>
        <v>25.349200000000017</v>
      </c>
      <c r="H188" s="13">
        <v>25.4</v>
      </c>
      <c r="I188" s="7">
        <v>2.46E-2</v>
      </c>
      <c r="J188" s="13">
        <v>50.850799999999971</v>
      </c>
      <c r="K188" s="7">
        <v>0.20929600000000001</v>
      </c>
      <c r="L188" s="3" t="s">
        <v>10</v>
      </c>
      <c r="M188" s="3" t="s">
        <v>23</v>
      </c>
    </row>
    <row r="189" spans="1:13" ht="15.6" x14ac:dyDescent="0.3">
      <c r="A189" s="1">
        <v>189</v>
      </c>
      <c r="B189" s="13">
        <v>28.137931034482758</v>
      </c>
      <c r="C189" s="13">
        <v>206.89655172413794</v>
      </c>
      <c r="D189" s="1">
        <v>2</v>
      </c>
      <c r="E189" s="13">
        <v>152.39999999999998</v>
      </c>
      <c r="F189" s="2">
        <v>380.93294399999996</v>
      </c>
      <c r="G189" s="13">
        <f t="shared" si="2"/>
        <v>39.691055999999989</v>
      </c>
      <c r="H189" s="13">
        <v>28.32</v>
      </c>
      <c r="I189" s="7">
        <v>2.58E-2</v>
      </c>
      <c r="J189" s="13">
        <v>36.508944</v>
      </c>
      <c r="K189" s="7">
        <v>0.145288</v>
      </c>
      <c r="L189" s="3" t="s">
        <v>10</v>
      </c>
      <c r="M189" s="3" t="s">
        <v>23</v>
      </c>
    </row>
    <row r="190" spans="1:13" ht="15.6" x14ac:dyDescent="0.3">
      <c r="A190" s="1">
        <v>190</v>
      </c>
      <c r="B190" s="13">
        <v>24.965517241379299</v>
      </c>
      <c r="C190" s="13">
        <v>206.89655172413794</v>
      </c>
      <c r="D190" s="1">
        <v>2</v>
      </c>
      <c r="E190" s="13">
        <v>152.39999999999998</v>
      </c>
      <c r="F190" s="2">
        <v>381.26415999999995</v>
      </c>
      <c r="G190" s="13">
        <f t="shared" si="2"/>
        <v>23.611840000000008</v>
      </c>
      <c r="H190" s="13">
        <v>28.32</v>
      </c>
      <c r="I190" s="7">
        <v>2.58E-2</v>
      </c>
      <c r="J190" s="13">
        <v>52.588159999999981</v>
      </c>
      <c r="K190" s="7">
        <v>0.20370799999999997</v>
      </c>
      <c r="L190" s="3" t="s">
        <v>10</v>
      </c>
      <c r="M190" s="3" t="s">
        <v>23</v>
      </c>
    </row>
    <row r="191" spans="1:13" ht="15.6" x14ac:dyDescent="0.3">
      <c r="A191" s="1">
        <v>191</v>
      </c>
      <c r="B191" s="13">
        <v>27.241379310344829</v>
      </c>
      <c r="C191" s="13">
        <v>206.89655172413794</v>
      </c>
      <c r="D191" s="1">
        <v>2</v>
      </c>
      <c r="E191" s="13">
        <v>152.39999999999998</v>
      </c>
      <c r="F191" s="2">
        <v>381.26415999999995</v>
      </c>
      <c r="G191" s="13">
        <f t="shared" si="2"/>
        <v>23.611840000000008</v>
      </c>
      <c r="H191" s="13">
        <v>28.32</v>
      </c>
      <c r="I191" s="7">
        <v>2.58E-2</v>
      </c>
      <c r="J191" s="13">
        <v>52.588159999999981</v>
      </c>
      <c r="K191" s="7">
        <v>0.17094199999999998</v>
      </c>
      <c r="L191" s="3" t="s">
        <v>10</v>
      </c>
      <c r="M191" s="3" t="s">
        <v>23</v>
      </c>
    </row>
    <row r="192" spans="1:13" ht="15.6" x14ac:dyDescent="0.3">
      <c r="A192" s="1">
        <v>192</v>
      </c>
      <c r="B192" s="13">
        <v>28.551724137931036</v>
      </c>
      <c r="C192" s="13">
        <v>206.89655172413794</v>
      </c>
      <c r="D192" s="1">
        <v>2</v>
      </c>
      <c r="E192" s="13">
        <v>152.39999999999998</v>
      </c>
      <c r="F192" s="2">
        <v>381.26415999999995</v>
      </c>
      <c r="G192" s="13">
        <f t="shared" si="2"/>
        <v>23.611840000000008</v>
      </c>
      <c r="H192" s="13">
        <v>28.32</v>
      </c>
      <c r="I192" s="7">
        <v>2.58E-2</v>
      </c>
      <c r="J192" s="13">
        <v>52.588159999999981</v>
      </c>
      <c r="K192" s="7">
        <v>0.160528</v>
      </c>
      <c r="L192" s="3" t="s">
        <v>10</v>
      </c>
      <c r="M192" s="3" t="s">
        <v>23</v>
      </c>
    </row>
    <row r="193" spans="1:13" ht="15.6" x14ac:dyDescent="0.3">
      <c r="A193" s="1">
        <v>193</v>
      </c>
      <c r="B193" s="13">
        <v>24.413793103448278</v>
      </c>
      <c r="C193" s="13">
        <v>206.89655172413794</v>
      </c>
      <c r="D193" s="1">
        <v>2</v>
      </c>
      <c r="E193" s="13">
        <v>152.39999999999998</v>
      </c>
      <c r="F193" s="2">
        <v>381.26415999999995</v>
      </c>
      <c r="G193" s="13">
        <f t="shared" ref="G193:G253" si="3">(E193-2*J193)/D193</f>
        <v>23.611840000000008</v>
      </c>
      <c r="H193" s="13">
        <v>28.32</v>
      </c>
      <c r="I193" s="7">
        <v>1.01E-2</v>
      </c>
      <c r="J193" s="13">
        <v>52.588159999999981</v>
      </c>
      <c r="K193" s="7">
        <v>0.16916399999999998</v>
      </c>
      <c r="L193" s="3" t="s">
        <v>10</v>
      </c>
      <c r="M193" s="3" t="s">
        <v>23</v>
      </c>
    </row>
    <row r="194" spans="1:13" ht="15.6" x14ac:dyDescent="0.3">
      <c r="A194" s="1">
        <v>194</v>
      </c>
      <c r="B194" s="13">
        <v>27.310344827586206</v>
      </c>
      <c r="C194" s="13">
        <v>206.89655172413794</v>
      </c>
      <c r="D194" s="1">
        <v>1</v>
      </c>
      <c r="E194" s="13">
        <v>152.39999999999998</v>
      </c>
      <c r="F194" s="2">
        <v>583.88808799999993</v>
      </c>
      <c r="G194" s="13">
        <f t="shared" si="3"/>
        <v>44.311823999999987</v>
      </c>
      <c r="H194" s="13">
        <v>31.87</v>
      </c>
      <c r="I194" s="7">
        <v>1.01E-2</v>
      </c>
      <c r="J194" s="13">
        <v>54.044087999999995</v>
      </c>
      <c r="K194" s="7">
        <v>0.29718</v>
      </c>
      <c r="L194" s="3" t="s">
        <v>10</v>
      </c>
      <c r="M194" s="3" t="s">
        <v>23</v>
      </c>
    </row>
    <row r="195" spans="1:13" ht="15.6" x14ac:dyDescent="0.3">
      <c r="A195" s="1">
        <v>195</v>
      </c>
      <c r="B195" s="13">
        <v>24.96551724137931</v>
      </c>
      <c r="C195" s="13">
        <v>206.89655172413794</v>
      </c>
      <c r="D195" s="1">
        <v>1</v>
      </c>
      <c r="E195" s="13">
        <v>152.39999999999998</v>
      </c>
      <c r="F195" s="2">
        <v>583.88808799999993</v>
      </c>
      <c r="G195" s="13">
        <f t="shared" si="3"/>
        <v>44.311823999999987</v>
      </c>
      <c r="H195" s="13">
        <v>31.87</v>
      </c>
      <c r="I195" s="7">
        <v>1.2800000000000001E-2</v>
      </c>
      <c r="J195" s="13">
        <v>54.044087999999995</v>
      </c>
      <c r="K195" s="7">
        <v>0.28041599999999994</v>
      </c>
      <c r="L195" s="3" t="s">
        <v>10</v>
      </c>
      <c r="M195" s="3" t="s">
        <v>23</v>
      </c>
    </row>
    <row r="196" spans="1:13" ht="15.6" x14ac:dyDescent="0.3">
      <c r="A196" s="1">
        <v>196</v>
      </c>
      <c r="B196" s="13">
        <v>27.103448275862068</v>
      </c>
      <c r="C196" s="13">
        <v>206.89655172413794</v>
      </c>
      <c r="D196" s="1">
        <v>1</v>
      </c>
      <c r="E196" s="13">
        <v>152.39999999999998</v>
      </c>
      <c r="F196" s="2">
        <v>584.19745999999998</v>
      </c>
      <c r="G196" s="13">
        <f t="shared" si="3"/>
        <v>15.245080000000002</v>
      </c>
      <c r="H196" s="13">
        <v>35.81</v>
      </c>
      <c r="I196" s="7">
        <v>1.5900000000000001E-2</v>
      </c>
      <c r="J196" s="13">
        <v>68.577459999999988</v>
      </c>
      <c r="K196" s="7">
        <v>0.26644599999999996</v>
      </c>
      <c r="L196" s="3" t="s">
        <v>10</v>
      </c>
      <c r="M196" s="3" t="s">
        <v>23</v>
      </c>
    </row>
    <row r="197" spans="1:13" ht="15.6" x14ac:dyDescent="0.3">
      <c r="A197" s="1">
        <v>197</v>
      </c>
      <c r="B197" s="13">
        <v>22.413793103448199</v>
      </c>
      <c r="C197" s="13">
        <v>206.89655172413794</v>
      </c>
      <c r="D197" s="1">
        <v>2</v>
      </c>
      <c r="E197" s="13">
        <v>152.39999999999998</v>
      </c>
      <c r="F197" s="2">
        <v>584.53172400000005</v>
      </c>
      <c r="G197" s="13">
        <f t="shared" si="3"/>
        <v>23.544275999999947</v>
      </c>
      <c r="H197" s="13">
        <v>28.32</v>
      </c>
      <c r="I197" s="7">
        <v>1.5900000000000001E-2</v>
      </c>
      <c r="J197" s="13">
        <v>52.655724000000042</v>
      </c>
      <c r="K197" s="7">
        <v>0.22402799999999998</v>
      </c>
      <c r="L197" s="3" t="s">
        <v>10</v>
      </c>
      <c r="M197" s="3" t="s">
        <v>23</v>
      </c>
    </row>
    <row r="198" spans="1:13" ht="15.6" x14ac:dyDescent="0.3">
      <c r="A198" s="1">
        <v>198</v>
      </c>
      <c r="B198" s="13">
        <v>24.551724137931036</v>
      </c>
      <c r="C198" s="13">
        <v>206.89655172413794</v>
      </c>
      <c r="D198" s="1">
        <v>2</v>
      </c>
      <c r="E198" s="13">
        <v>152.39999999999998</v>
      </c>
      <c r="F198" s="2">
        <v>584.53172400000005</v>
      </c>
      <c r="G198" s="13">
        <f t="shared" si="3"/>
        <v>23.544275999999947</v>
      </c>
      <c r="H198" s="13">
        <v>28.32</v>
      </c>
      <c r="I198" s="7">
        <v>2.5000000000000001E-2</v>
      </c>
      <c r="J198" s="13">
        <v>52.655724000000042</v>
      </c>
      <c r="K198" s="7">
        <v>0.15900399999999998</v>
      </c>
      <c r="L198" s="3" t="s">
        <v>10</v>
      </c>
      <c r="M198" s="3" t="s">
        <v>23</v>
      </c>
    </row>
    <row r="199" spans="1:13" ht="15.6" x14ac:dyDescent="0.3">
      <c r="A199" s="1">
        <v>199</v>
      </c>
      <c r="B199" s="14">
        <v>24.758620689655171</v>
      </c>
      <c r="C199" s="14">
        <v>206.89655172413794</v>
      </c>
      <c r="D199" s="1">
        <v>2</v>
      </c>
      <c r="E199" s="13">
        <v>152.39999999999998</v>
      </c>
      <c r="F199" s="25">
        <v>584.32191999999998</v>
      </c>
      <c r="G199" s="13">
        <f t="shared" si="3"/>
        <v>20.198080000000026</v>
      </c>
      <c r="H199" s="13">
        <v>35.81</v>
      </c>
      <c r="I199" s="7">
        <v>2.5000000000000001E-2</v>
      </c>
      <c r="J199" s="13">
        <v>56.001919999999963</v>
      </c>
      <c r="K199" s="8">
        <v>0.223774</v>
      </c>
      <c r="L199" s="3" t="s">
        <v>10</v>
      </c>
      <c r="M199" s="3" t="s">
        <v>23</v>
      </c>
    </row>
    <row r="200" spans="1:13" ht="15.6" x14ac:dyDescent="0.3">
      <c r="A200" s="1">
        <v>200</v>
      </c>
      <c r="B200" s="13">
        <v>25.448275862068964</v>
      </c>
      <c r="C200" s="13">
        <v>241.37931034482759</v>
      </c>
      <c r="D200" s="1">
        <v>1</v>
      </c>
      <c r="E200" s="13">
        <v>152.39999999999998</v>
      </c>
      <c r="F200" s="2">
        <v>381.05079999999992</v>
      </c>
      <c r="G200" s="13">
        <f t="shared" si="3"/>
        <v>50.698400000000035</v>
      </c>
      <c r="H200" s="13">
        <v>25.4</v>
      </c>
      <c r="I200" s="7">
        <v>1.01E-2</v>
      </c>
      <c r="J200" s="13">
        <v>50.850799999999971</v>
      </c>
      <c r="K200" s="7">
        <v>0.24053799999999997</v>
      </c>
      <c r="L200" s="3" t="s">
        <v>10</v>
      </c>
      <c r="M200" s="3" t="s">
        <v>23</v>
      </c>
    </row>
    <row r="201" spans="1:13" ht="15.6" x14ac:dyDescent="0.3">
      <c r="A201" s="1">
        <v>201</v>
      </c>
      <c r="B201" s="13">
        <v>25.862068965517242</v>
      </c>
      <c r="C201" s="13">
        <v>241.37931034482759</v>
      </c>
      <c r="D201" s="1">
        <v>1</v>
      </c>
      <c r="E201" s="13">
        <v>152.39999999999998</v>
      </c>
      <c r="F201" s="2">
        <v>381.05079999999992</v>
      </c>
      <c r="G201" s="13">
        <f t="shared" si="3"/>
        <v>50.698400000000035</v>
      </c>
      <c r="H201" s="13">
        <v>25.4</v>
      </c>
      <c r="I201" s="7">
        <v>1.01E-2</v>
      </c>
      <c r="J201" s="13">
        <v>50.850799999999971</v>
      </c>
      <c r="K201" s="7">
        <v>0.24891999999999997</v>
      </c>
      <c r="L201" s="3" t="s">
        <v>10</v>
      </c>
      <c r="M201" s="3" t="s">
        <v>23</v>
      </c>
    </row>
    <row r="202" spans="1:13" ht="15.6" x14ac:dyDescent="0.3">
      <c r="A202" s="1">
        <v>202</v>
      </c>
      <c r="B202" s="13">
        <v>30.068965517241381</v>
      </c>
      <c r="C202" s="13">
        <v>241.37931034482759</v>
      </c>
      <c r="D202" s="1">
        <v>2</v>
      </c>
      <c r="E202" s="13">
        <v>152.39999999999998</v>
      </c>
      <c r="F202" s="2">
        <v>381.31394399999999</v>
      </c>
      <c r="G202" s="13">
        <f t="shared" si="3"/>
        <v>34.738055999999986</v>
      </c>
      <c r="H202" s="13">
        <v>18.824999999999999</v>
      </c>
      <c r="I202" s="7">
        <v>1.0999999999999999E-2</v>
      </c>
      <c r="J202" s="13">
        <v>41.461944000000003</v>
      </c>
      <c r="K202" s="7">
        <v>0.27304999999999996</v>
      </c>
      <c r="L202" s="3" t="s">
        <v>10</v>
      </c>
      <c r="M202" s="3" t="s">
        <v>23</v>
      </c>
    </row>
    <row r="203" spans="1:13" ht="15.6" x14ac:dyDescent="0.3">
      <c r="A203" s="1">
        <v>203</v>
      </c>
      <c r="B203" s="13">
        <v>29.241379310344829</v>
      </c>
      <c r="C203" s="13">
        <v>241.37931034482759</v>
      </c>
      <c r="D203" s="1">
        <v>2</v>
      </c>
      <c r="E203" s="13">
        <v>152.39999999999998</v>
      </c>
      <c r="F203" s="2">
        <v>381.31394399999999</v>
      </c>
      <c r="G203" s="13">
        <f t="shared" si="3"/>
        <v>34.738055999999986</v>
      </c>
      <c r="H203" s="13">
        <v>18.824999999999999</v>
      </c>
      <c r="I203" s="7">
        <v>1.0999999999999999E-2</v>
      </c>
      <c r="J203" s="13">
        <v>41.461944000000003</v>
      </c>
      <c r="K203" s="7">
        <v>0.16484599999999999</v>
      </c>
      <c r="L203" s="3" t="s">
        <v>10</v>
      </c>
      <c r="M203" s="3" t="s">
        <v>23</v>
      </c>
    </row>
    <row r="204" spans="1:13" ht="15.6" x14ac:dyDescent="0.3">
      <c r="A204" s="1">
        <v>204</v>
      </c>
      <c r="B204" s="13">
        <v>27.172413793103448</v>
      </c>
      <c r="C204" s="13">
        <v>241.37931034482759</v>
      </c>
      <c r="D204" s="1">
        <v>2</v>
      </c>
      <c r="E204" s="13">
        <v>152.39999999999998</v>
      </c>
      <c r="F204" s="2">
        <v>380.32182</v>
      </c>
      <c r="G204" s="13">
        <f t="shared" si="3"/>
        <v>28.618179999999981</v>
      </c>
      <c r="H204" s="13">
        <v>18.824999999999999</v>
      </c>
      <c r="I204" s="7">
        <v>1.12E-2</v>
      </c>
      <c r="J204" s="13">
        <v>47.581820000000008</v>
      </c>
      <c r="K204" s="7">
        <v>0.20294600000000002</v>
      </c>
      <c r="L204" s="3" t="s">
        <v>10</v>
      </c>
      <c r="M204" s="3" t="s">
        <v>23</v>
      </c>
    </row>
    <row r="205" spans="1:13" ht="15.6" x14ac:dyDescent="0.3">
      <c r="A205" s="1">
        <v>205</v>
      </c>
      <c r="B205" s="13">
        <v>26.827586206896552</v>
      </c>
      <c r="C205" s="13">
        <v>241.37931034482759</v>
      </c>
      <c r="D205" s="1">
        <v>2</v>
      </c>
      <c r="E205" s="13">
        <v>152.39999999999998</v>
      </c>
      <c r="F205" s="2">
        <v>381.05130799999995</v>
      </c>
      <c r="G205" s="13">
        <f t="shared" si="3"/>
        <v>52.272692000000006</v>
      </c>
      <c r="H205" s="13">
        <v>22.22</v>
      </c>
      <c r="I205" s="7">
        <v>1.4200000000000001E-2</v>
      </c>
      <c r="J205" s="13">
        <v>23.927307999999982</v>
      </c>
      <c r="K205" s="7">
        <v>0.14147799999999999</v>
      </c>
      <c r="L205" s="3" t="s">
        <v>10</v>
      </c>
      <c r="M205" s="3" t="s">
        <v>23</v>
      </c>
    </row>
    <row r="206" spans="1:13" ht="15.6" x14ac:dyDescent="0.3">
      <c r="A206" s="1">
        <v>206</v>
      </c>
      <c r="B206" s="13">
        <v>22.413793103448278</v>
      </c>
      <c r="C206" s="13">
        <v>241.37931034482759</v>
      </c>
      <c r="D206" s="1">
        <v>2</v>
      </c>
      <c r="E206" s="13">
        <v>152.39999999999998</v>
      </c>
      <c r="F206" s="2">
        <v>380.81915199999997</v>
      </c>
      <c r="G206" s="13">
        <f t="shared" si="3"/>
        <v>27.104848000000018</v>
      </c>
      <c r="H206" s="13">
        <v>22.22</v>
      </c>
      <c r="I206" s="7">
        <v>1.5299999999999999E-2</v>
      </c>
      <c r="J206" s="13">
        <v>49.09515199999997</v>
      </c>
      <c r="K206" s="7">
        <v>0.22428199999999998</v>
      </c>
      <c r="L206" s="3" t="s">
        <v>10</v>
      </c>
      <c r="M206" s="3" t="s">
        <v>23</v>
      </c>
    </row>
    <row r="207" spans="1:13" ht="15.6" x14ac:dyDescent="0.3">
      <c r="A207" s="1">
        <v>207</v>
      </c>
      <c r="B207" s="13">
        <v>29.517241379310345</v>
      </c>
      <c r="C207" s="13">
        <v>241.37931034482759</v>
      </c>
      <c r="D207" s="1">
        <v>2</v>
      </c>
      <c r="E207" s="13">
        <v>152.39999999999998</v>
      </c>
      <c r="F207" s="2">
        <v>380.81915199999997</v>
      </c>
      <c r="G207" s="13">
        <f t="shared" si="3"/>
        <v>27.104848000000018</v>
      </c>
      <c r="H207" s="13">
        <v>22.22</v>
      </c>
      <c r="I207" s="7">
        <v>1.3299999999999999E-2</v>
      </c>
      <c r="J207" s="13">
        <v>49.09515199999997</v>
      </c>
      <c r="K207" s="7">
        <v>0.16916399999999998</v>
      </c>
      <c r="L207" s="3" t="s">
        <v>10</v>
      </c>
      <c r="M207" s="3" t="s">
        <v>23</v>
      </c>
    </row>
    <row r="208" spans="1:13" ht="15.6" x14ac:dyDescent="0.3">
      <c r="A208" s="1">
        <v>208</v>
      </c>
      <c r="B208" s="13">
        <v>29.03448275862069</v>
      </c>
      <c r="C208" s="13">
        <v>241.37931034482759</v>
      </c>
      <c r="D208" s="1">
        <v>2</v>
      </c>
      <c r="E208" s="13">
        <v>152.39999999999998</v>
      </c>
      <c r="F208" s="2">
        <v>380.81915199999997</v>
      </c>
      <c r="G208" s="13">
        <f t="shared" si="3"/>
        <v>27.104848000000018</v>
      </c>
      <c r="H208" s="13">
        <v>22.22</v>
      </c>
      <c r="I208" s="7">
        <v>1.5299999999999999E-2</v>
      </c>
      <c r="J208" s="13">
        <v>49.09515199999997</v>
      </c>
      <c r="K208" s="7">
        <v>0.21818599999999999</v>
      </c>
      <c r="L208" s="3" t="s">
        <v>10</v>
      </c>
      <c r="M208" s="3" t="s">
        <v>23</v>
      </c>
    </row>
    <row r="209" spans="1:13" ht="15.6" x14ac:dyDescent="0.3">
      <c r="A209" s="1">
        <v>209</v>
      </c>
      <c r="B209" s="13">
        <v>27.862068965517242</v>
      </c>
      <c r="C209" s="13">
        <v>241.37931034482759</v>
      </c>
      <c r="D209" s="1">
        <v>2</v>
      </c>
      <c r="E209" s="13">
        <v>152.39999999999998</v>
      </c>
      <c r="F209" s="2">
        <v>380.81915199999997</v>
      </c>
      <c r="G209" s="13">
        <f t="shared" si="3"/>
        <v>27.104848000000018</v>
      </c>
      <c r="H209" s="13">
        <v>22.22</v>
      </c>
      <c r="I209" s="7">
        <v>1.5299999999999999E-2</v>
      </c>
      <c r="J209" s="13">
        <v>49.09515199999997</v>
      </c>
      <c r="K209" s="7">
        <v>0.29718</v>
      </c>
      <c r="L209" s="3" t="s">
        <v>10</v>
      </c>
      <c r="M209" s="3" t="s">
        <v>23</v>
      </c>
    </row>
    <row r="210" spans="1:13" ht="15.6" x14ac:dyDescent="0.3">
      <c r="A210" s="1">
        <v>210</v>
      </c>
      <c r="B210" s="13">
        <v>24.620689655172413</v>
      </c>
      <c r="C210" s="13">
        <v>241.37931034482759</v>
      </c>
      <c r="D210" s="1">
        <v>1</v>
      </c>
      <c r="E210" s="13">
        <v>152.39999999999998</v>
      </c>
      <c r="F210" s="2">
        <v>380.86690399999998</v>
      </c>
      <c r="G210" s="13">
        <f t="shared" si="3"/>
        <v>43.954191999999978</v>
      </c>
      <c r="H210" s="13">
        <v>31.87</v>
      </c>
      <c r="I210" s="7">
        <v>1.6500000000000001E-2</v>
      </c>
      <c r="J210" s="13">
        <v>54.222904</v>
      </c>
      <c r="K210" s="7">
        <v>0.31013399999999997</v>
      </c>
      <c r="L210" s="3" t="s">
        <v>10</v>
      </c>
      <c r="M210" s="3" t="s">
        <v>23</v>
      </c>
    </row>
    <row r="211" spans="1:13" ht="15.6" x14ac:dyDescent="0.3">
      <c r="A211" s="1">
        <v>211</v>
      </c>
      <c r="B211" s="13">
        <v>28.689655172413794</v>
      </c>
      <c r="C211" s="13">
        <v>241.37931034482759</v>
      </c>
      <c r="D211" s="1">
        <v>1</v>
      </c>
      <c r="E211" s="13">
        <v>152.39999999999998</v>
      </c>
      <c r="F211" s="2">
        <v>380.86690399999998</v>
      </c>
      <c r="G211" s="13">
        <f t="shared" si="3"/>
        <v>43.954191999999978</v>
      </c>
      <c r="H211" s="13">
        <v>31.87</v>
      </c>
      <c r="I211" s="7">
        <v>2.0299999999999999E-2</v>
      </c>
      <c r="J211" s="13">
        <v>54.222904</v>
      </c>
      <c r="K211" s="7">
        <v>0.355346</v>
      </c>
      <c r="L211" s="3" t="s">
        <v>10</v>
      </c>
      <c r="M211" s="3" t="s">
        <v>23</v>
      </c>
    </row>
    <row r="212" spans="1:13" ht="15.6" x14ac:dyDescent="0.3">
      <c r="A212" s="1">
        <v>212</v>
      </c>
      <c r="B212" s="13">
        <v>26.620689655172413</v>
      </c>
      <c r="C212" s="13">
        <v>241.37931034482759</v>
      </c>
      <c r="D212" s="1">
        <v>2</v>
      </c>
      <c r="E212" s="13">
        <v>152.39999999999998</v>
      </c>
      <c r="F212" s="2">
        <v>381.05079999999992</v>
      </c>
      <c r="G212" s="13">
        <f t="shared" si="3"/>
        <v>25.349200000000017</v>
      </c>
      <c r="H212" s="13">
        <v>25.4</v>
      </c>
      <c r="I212" s="7">
        <v>2.0299999999999999E-2</v>
      </c>
      <c r="J212" s="13">
        <v>50.850799999999971</v>
      </c>
      <c r="K212" s="7">
        <v>0.36245799999999995</v>
      </c>
      <c r="L212" s="3" t="s">
        <v>10</v>
      </c>
      <c r="M212" s="3" t="s">
        <v>23</v>
      </c>
    </row>
    <row r="213" spans="1:13" ht="15.6" x14ac:dyDescent="0.3">
      <c r="A213" s="1">
        <v>213</v>
      </c>
      <c r="B213" s="13">
        <v>26.689655172413794</v>
      </c>
      <c r="C213" s="13">
        <v>241.37931034482759</v>
      </c>
      <c r="D213" s="1">
        <v>2</v>
      </c>
      <c r="E213" s="13">
        <v>152.39999999999998</v>
      </c>
      <c r="F213" s="2">
        <v>381.05079999999992</v>
      </c>
      <c r="G213" s="13">
        <f t="shared" si="3"/>
        <v>25.349200000000017</v>
      </c>
      <c r="H213" s="13">
        <v>25.4</v>
      </c>
      <c r="I213" s="7">
        <v>2.46E-2</v>
      </c>
      <c r="J213" s="13">
        <v>50.850799999999971</v>
      </c>
      <c r="K213" s="7">
        <v>0.24333199999999999</v>
      </c>
      <c r="L213" s="3" t="s">
        <v>10</v>
      </c>
      <c r="M213" s="3" t="s">
        <v>23</v>
      </c>
    </row>
    <row r="214" spans="1:13" ht="15.6" x14ac:dyDescent="0.3">
      <c r="A214" s="1">
        <v>214</v>
      </c>
      <c r="B214" s="13">
        <v>28.137931034482758</v>
      </c>
      <c r="C214" s="13">
        <v>241.37931034482759</v>
      </c>
      <c r="D214" s="1">
        <v>2</v>
      </c>
      <c r="E214" s="13">
        <v>152.39999999999998</v>
      </c>
      <c r="F214" s="2">
        <v>380.93294399999996</v>
      </c>
      <c r="G214" s="13">
        <f t="shared" si="3"/>
        <v>39.691055999999989</v>
      </c>
      <c r="H214" s="13">
        <v>28.32</v>
      </c>
      <c r="I214" s="7">
        <v>2.58E-2</v>
      </c>
      <c r="J214" s="13">
        <v>36.508944</v>
      </c>
      <c r="K214" s="7">
        <v>0.17094199999999998</v>
      </c>
      <c r="L214" s="3" t="s">
        <v>10</v>
      </c>
      <c r="M214" s="3" t="s">
        <v>23</v>
      </c>
    </row>
    <row r="215" spans="1:13" ht="15.6" x14ac:dyDescent="0.3">
      <c r="A215" s="1">
        <v>215</v>
      </c>
      <c r="B215" s="13">
        <v>24.965517241379299</v>
      </c>
      <c r="C215" s="13">
        <v>241.37931034482759</v>
      </c>
      <c r="D215" s="1">
        <v>2</v>
      </c>
      <c r="E215" s="13">
        <v>152.39999999999998</v>
      </c>
      <c r="F215" s="2">
        <v>381.26415999999995</v>
      </c>
      <c r="G215" s="13">
        <f t="shared" si="3"/>
        <v>23.611840000000008</v>
      </c>
      <c r="H215" s="13">
        <v>28.32</v>
      </c>
      <c r="I215" s="7">
        <v>2.58E-2</v>
      </c>
      <c r="J215" s="13">
        <v>52.588159999999981</v>
      </c>
      <c r="K215" s="7">
        <v>0.24510999999999999</v>
      </c>
      <c r="L215" s="3" t="s">
        <v>10</v>
      </c>
      <c r="M215" s="3" t="s">
        <v>23</v>
      </c>
    </row>
    <row r="216" spans="1:13" ht="15.6" x14ac:dyDescent="0.3">
      <c r="A216" s="1">
        <v>217</v>
      </c>
      <c r="B216" s="13">
        <v>28.551724137931036</v>
      </c>
      <c r="C216" s="13">
        <v>241.37931034482759</v>
      </c>
      <c r="D216" s="1">
        <v>2</v>
      </c>
      <c r="E216" s="13">
        <v>152.39999999999998</v>
      </c>
      <c r="F216" s="2">
        <v>381.26415999999995</v>
      </c>
      <c r="G216" s="13">
        <f t="shared" si="3"/>
        <v>23.611840000000008</v>
      </c>
      <c r="H216" s="13">
        <v>28.32</v>
      </c>
      <c r="I216" s="7">
        <v>2.58E-2</v>
      </c>
      <c r="J216" s="13">
        <v>52.588159999999981</v>
      </c>
      <c r="K216" s="7">
        <v>0.22453600000000001</v>
      </c>
      <c r="L216" s="3" t="s">
        <v>10</v>
      </c>
      <c r="M216" s="3" t="s">
        <v>23</v>
      </c>
    </row>
    <row r="217" spans="1:13" ht="15.6" x14ac:dyDescent="0.3">
      <c r="A217" s="1">
        <v>218</v>
      </c>
      <c r="B217" s="13">
        <v>24.413793103448278</v>
      </c>
      <c r="C217" s="13">
        <v>241.37931034482759</v>
      </c>
      <c r="D217" s="1">
        <v>2</v>
      </c>
      <c r="E217" s="13">
        <v>152.39999999999998</v>
      </c>
      <c r="F217" s="2">
        <v>381.26415999999995</v>
      </c>
      <c r="G217" s="13">
        <f t="shared" si="3"/>
        <v>23.611840000000008</v>
      </c>
      <c r="H217" s="13">
        <v>28.32</v>
      </c>
      <c r="I217" s="7">
        <v>1.01E-2</v>
      </c>
      <c r="J217" s="13">
        <v>52.588159999999981</v>
      </c>
      <c r="K217" s="7">
        <v>0.20446999999999999</v>
      </c>
      <c r="L217" s="3" t="s">
        <v>10</v>
      </c>
      <c r="M217" s="3" t="s">
        <v>23</v>
      </c>
    </row>
    <row r="218" spans="1:13" ht="15.6" x14ac:dyDescent="0.3">
      <c r="A218" s="1">
        <v>219</v>
      </c>
      <c r="B218" s="13">
        <v>27.310344827586206</v>
      </c>
      <c r="C218" s="13">
        <v>241.37931034482759</v>
      </c>
      <c r="D218" s="1">
        <v>1</v>
      </c>
      <c r="E218" s="13">
        <v>152.39999999999998</v>
      </c>
      <c r="F218" s="2">
        <v>583.88808799999993</v>
      </c>
      <c r="G218" s="13">
        <f t="shared" si="3"/>
        <v>44.311823999999987</v>
      </c>
      <c r="H218" s="13">
        <v>31.87</v>
      </c>
      <c r="I218" s="7">
        <v>1.01E-2</v>
      </c>
      <c r="J218" s="13">
        <v>54.044087999999995</v>
      </c>
      <c r="K218" s="7">
        <v>0.36474399999999996</v>
      </c>
      <c r="L218" s="3" t="s">
        <v>10</v>
      </c>
      <c r="M218" s="3" t="s">
        <v>23</v>
      </c>
    </row>
    <row r="219" spans="1:13" ht="15.6" x14ac:dyDescent="0.3">
      <c r="A219" s="1">
        <v>220</v>
      </c>
      <c r="B219" s="13">
        <v>24.96551724137931</v>
      </c>
      <c r="C219" s="13">
        <v>241.37931034482759</v>
      </c>
      <c r="D219" s="1">
        <v>1</v>
      </c>
      <c r="E219" s="13">
        <v>152.39999999999998</v>
      </c>
      <c r="F219" s="2">
        <v>583.88808799999993</v>
      </c>
      <c r="G219" s="13">
        <f t="shared" si="3"/>
        <v>44.311823999999987</v>
      </c>
      <c r="H219" s="13">
        <v>31.87</v>
      </c>
      <c r="I219" s="7">
        <v>1.2800000000000001E-2</v>
      </c>
      <c r="J219" s="13">
        <v>54.044087999999995</v>
      </c>
      <c r="K219" s="7">
        <v>0.32740599999999997</v>
      </c>
      <c r="L219" s="3" t="s">
        <v>10</v>
      </c>
      <c r="M219" s="3" t="s">
        <v>23</v>
      </c>
    </row>
    <row r="220" spans="1:13" ht="15.6" x14ac:dyDescent="0.3">
      <c r="A220" s="1">
        <v>221</v>
      </c>
      <c r="B220" s="13">
        <v>27.103448275862068</v>
      </c>
      <c r="C220" s="13">
        <v>241.37931034482759</v>
      </c>
      <c r="D220" s="1">
        <v>1</v>
      </c>
      <c r="E220" s="13">
        <v>152.39999999999998</v>
      </c>
      <c r="F220" s="2">
        <v>584.19745999999998</v>
      </c>
      <c r="G220" s="13">
        <f t="shared" si="3"/>
        <v>15.245080000000002</v>
      </c>
      <c r="H220" s="13">
        <v>35.81</v>
      </c>
      <c r="I220" s="7">
        <v>1.5900000000000001E-2</v>
      </c>
      <c r="J220" s="13">
        <v>68.577459999999988</v>
      </c>
      <c r="K220" s="7">
        <v>0.31013399999999997</v>
      </c>
      <c r="L220" s="3" t="s">
        <v>10</v>
      </c>
      <c r="M220" s="3" t="s">
        <v>23</v>
      </c>
    </row>
    <row r="221" spans="1:13" ht="15.6" x14ac:dyDescent="0.3">
      <c r="A221" s="1">
        <v>222</v>
      </c>
      <c r="B221" s="13">
        <v>22.413793103448199</v>
      </c>
      <c r="C221" s="13">
        <v>241.37931034482759</v>
      </c>
      <c r="D221" s="1">
        <v>2</v>
      </c>
      <c r="E221" s="13">
        <v>152.39999999999998</v>
      </c>
      <c r="F221" s="2">
        <v>584.53172400000005</v>
      </c>
      <c r="G221" s="13">
        <f t="shared" si="3"/>
        <v>23.544275999999947</v>
      </c>
      <c r="H221" s="13">
        <v>28.32</v>
      </c>
      <c r="I221" s="7">
        <v>1.5900000000000001E-2</v>
      </c>
      <c r="J221" s="13">
        <v>52.655724000000042</v>
      </c>
      <c r="K221" s="7">
        <v>0.26949399999999996</v>
      </c>
      <c r="L221" s="3" t="s">
        <v>10</v>
      </c>
      <c r="M221" s="3" t="s">
        <v>23</v>
      </c>
    </row>
    <row r="222" spans="1:13" ht="15.6" x14ac:dyDescent="0.3">
      <c r="A222" s="1">
        <v>223</v>
      </c>
      <c r="B222" s="13">
        <v>24.551724137931036</v>
      </c>
      <c r="C222" s="13">
        <v>241.37931034482759</v>
      </c>
      <c r="D222" s="1">
        <v>2</v>
      </c>
      <c r="E222" s="13">
        <v>152.39999999999998</v>
      </c>
      <c r="F222" s="2">
        <v>584.53172400000005</v>
      </c>
      <c r="G222" s="13">
        <f t="shared" si="3"/>
        <v>23.544275999999947</v>
      </c>
      <c r="H222" s="13">
        <v>28.32</v>
      </c>
      <c r="I222" s="7">
        <v>2.5000000000000001E-2</v>
      </c>
      <c r="J222" s="13">
        <v>52.655724000000042</v>
      </c>
      <c r="K222" s="7">
        <v>0.18719799999999998</v>
      </c>
      <c r="L222" s="3" t="s">
        <v>10</v>
      </c>
      <c r="M222" s="3" t="s">
        <v>23</v>
      </c>
    </row>
    <row r="223" spans="1:13" ht="15.6" x14ac:dyDescent="0.3">
      <c r="A223" s="1">
        <v>224</v>
      </c>
      <c r="B223" s="14">
        <v>24.758620689655171</v>
      </c>
      <c r="C223" s="13">
        <v>241.37931034482759</v>
      </c>
      <c r="D223" s="1">
        <v>2</v>
      </c>
      <c r="E223" s="13">
        <v>152.39999999999998</v>
      </c>
      <c r="F223" s="25">
        <v>584.32191999999998</v>
      </c>
      <c r="G223" s="13">
        <f t="shared" si="3"/>
        <v>20.198080000000026</v>
      </c>
      <c r="H223" s="13">
        <v>35.81</v>
      </c>
      <c r="I223" s="7">
        <v>2.5000000000000001E-2</v>
      </c>
      <c r="J223" s="13">
        <v>56.001919999999963</v>
      </c>
      <c r="K223" s="7">
        <v>0</v>
      </c>
      <c r="L223" s="3" t="s">
        <v>10</v>
      </c>
      <c r="M223" s="3" t="s">
        <v>23</v>
      </c>
    </row>
    <row r="224" spans="1:13" ht="15.6" x14ac:dyDescent="0.3">
      <c r="A224" s="1">
        <v>225</v>
      </c>
      <c r="B224" s="13">
        <v>25.448275862068964</v>
      </c>
      <c r="C224" s="13">
        <v>275.86206896551727</v>
      </c>
      <c r="D224" s="1">
        <v>1</v>
      </c>
      <c r="E224" s="13">
        <v>152.39999999999998</v>
      </c>
      <c r="F224" s="2">
        <v>381.05079999999992</v>
      </c>
      <c r="G224" s="13">
        <f t="shared" si="3"/>
        <v>50.698400000000035</v>
      </c>
      <c r="H224" s="13">
        <v>25.4</v>
      </c>
      <c r="I224" s="7">
        <v>1.01E-2</v>
      </c>
      <c r="J224" s="13">
        <v>50.850799999999971</v>
      </c>
      <c r="K224" s="7">
        <v>0.27914600000000001</v>
      </c>
      <c r="L224" s="3" t="s">
        <v>10</v>
      </c>
      <c r="M224" s="3" t="s">
        <v>23</v>
      </c>
    </row>
    <row r="225" spans="1:13" ht="15.6" x14ac:dyDescent="0.3">
      <c r="A225" s="1">
        <v>226</v>
      </c>
      <c r="B225" s="13">
        <v>25.862068965517242</v>
      </c>
      <c r="C225" s="13">
        <v>275.86206896551727</v>
      </c>
      <c r="D225" s="1">
        <v>1</v>
      </c>
      <c r="E225" s="13">
        <v>152.39999999999998</v>
      </c>
      <c r="F225" s="2">
        <v>381.05079999999992</v>
      </c>
      <c r="G225" s="13">
        <f t="shared" si="3"/>
        <v>50.698400000000035</v>
      </c>
      <c r="H225" s="13">
        <v>25.4</v>
      </c>
      <c r="I225" s="7">
        <v>1.01E-2</v>
      </c>
      <c r="J225" s="13">
        <v>50.850799999999971</v>
      </c>
      <c r="K225" s="7">
        <v>0.35255199999999998</v>
      </c>
      <c r="L225" s="3" t="s">
        <v>10</v>
      </c>
      <c r="M225" s="3" t="s">
        <v>23</v>
      </c>
    </row>
    <row r="226" spans="1:13" ht="15.6" x14ac:dyDescent="0.3">
      <c r="A226" s="1">
        <v>227</v>
      </c>
      <c r="B226" s="13">
        <v>30.068965517241381</v>
      </c>
      <c r="C226" s="13">
        <v>275.86206896551727</v>
      </c>
      <c r="D226" s="1">
        <v>2</v>
      </c>
      <c r="E226" s="13">
        <v>152.39999999999998</v>
      </c>
      <c r="F226" s="2">
        <v>381.31394399999999</v>
      </c>
      <c r="G226" s="13">
        <f t="shared" si="3"/>
        <v>34.738055999999986</v>
      </c>
      <c r="H226" s="13">
        <v>18.824999999999999</v>
      </c>
      <c r="I226" s="7">
        <v>1.0999999999999999E-2</v>
      </c>
      <c r="J226" s="13">
        <v>41.461944000000003</v>
      </c>
      <c r="K226" s="7">
        <v>0.32384999999999997</v>
      </c>
      <c r="L226" s="3" t="s">
        <v>10</v>
      </c>
      <c r="M226" s="3" t="s">
        <v>23</v>
      </c>
    </row>
    <row r="227" spans="1:13" ht="15.6" x14ac:dyDescent="0.3">
      <c r="A227" s="1">
        <v>228</v>
      </c>
      <c r="B227" s="13">
        <v>29.241379310344829</v>
      </c>
      <c r="C227" s="13">
        <v>275.86206896551727</v>
      </c>
      <c r="D227" s="1">
        <v>2</v>
      </c>
      <c r="E227" s="13">
        <v>152.39999999999998</v>
      </c>
      <c r="F227" s="2">
        <v>381.31394399999999</v>
      </c>
      <c r="G227" s="13">
        <f t="shared" si="3"/>
        <v>34.738055999999986</v>
      </c>
      <c r="H227" s="13">
        <v>18.824999999999999</v>
      </c>
      <c r="I227" s="7">
        <v>1.0999999999999999E-2</v>
      </c>
      <c r="J227" s="13">
        <v>41.461944000000003</v>
      </c>
      <c r="K227" s="7">
        <v>0.19430999999999998</v>
      </c>
      <c r="L227" s="3" t="s">
        <v>10</v>
      </c>
      <c r="M227" s="3" t="s">
        <v>23</v>
      </c>
    </row>
    <row r="228" spans="1:13" ht="15.6" x14ac:dyDescent="0.3">
      <c r="A228" s="1">
        <v>229</v>
      </c>
      <c r="B228" s="13">
        <v>27.172413793103448</v>
      </c>
      <c r="C228" s="13">
        <v>275.86206896551727</v>
      </c>
      <c r="D228" s="1">
        <v>2</v>
      </c>
      <c r="E228" s="13">
        <v>152.39999999999998</v>
      </c>
      <c r="F228" s="2">
        <v>380.32182</v>
      </c>
      <c r="G228" s="13">
        <f t="shared" si="3"/>
        <v>28.618179999999981</v>
      </c>
      <c r="H228" s="13">
        <v>18.824999999999999</v>
      </c>
      <c r="I228" s="7">
        <v>1.12E-2</v>
      </c>
      <c r="J228" s="13">
        <v>47.581820000000008</v>
      </c>
      <c r="K228" s="7">
        <v>0.22936199999999998</v>
      </c>
      <c r="L228" s="3" t="s">
        <v>10</v>
      </c>
      <c r="M228" s="3" t="s">
        <v>23</v>
      </c>
    </row>
    <row r="229" spans="1:13" ht="15.6" x14ac:dyDescent="0.3">
      <c r="A229" s="1">
        <v>230</v>
      </c>
      <c r="B229" s="13">
        <v>26.827586206896552</v>
      </c>
      <c r="C229" s="13">
        <v>275.86206896551727</v>
      </c>
      <c r="D229" s="1">
        <v>2</v>
      </c>
      <c r="E229" s="13">
        <v>152.39999999999998</v>
      </c>
      <c r="F229" s="2">
        <v>381.05130799999995</v>
      </c>
      <c r="G229" s="13">
        <f t="shared" si="3"/>
        <v>52.272692000000006</v>
      </c>
      <c r="H229" s="13">
        <v>22.22</v>
      </c>
      <c r="I229" s="7">
        <v>1.4200000000000001E-2</v>
      </c>
      <c r="J229" s="13">
        <v>23.927307999999982</v>
      </c>
      <c r="K229" s="7">
        <v>0.16840199999999997</v>
      </c>
      <c r="L229" s="3" t="s">
        <v>10</v>
      </c>
      <c r="M229" s="3" t="s">
        <v>23</v>
      </c>
    </row>
    <row r="230" spans="1:13" ht="15.6" x14ac:dyDescent="0.3">
      <c r="A230" s="1">
        <v>231</v>
      </c>
      <c r="B230" s="13">
        <v>22.413793103448278</v>
      </c>
      <c r="C230" s="13">
        <v>275.86206896551727</v>
      </c>
      <c r="D230" s="1">
        <v>2</v>
      </c>
      <c r="E230" s="13">
        <v>152.39999999999998</v>
      </c>
      <c r="F230" s="2">
        <v>380.81915199999997</v>
      </c>
      <c r="G230" s="13">
        <f t="shared" si="3"/>
        <v>27.104848000000018</v>
      </c>
      <c r="H230" s="13">
        <v>22.22</v>
      </c>
      <c r="I230" s="7">
        <v>1.5299999999999999E-2</v>
      </c>
      <c r="J230" s="13">
        <v>49.09515199999997</v>
      </c>
      <c r="K230" s="7">
        <v>0.26796999999999999</v>
      </c>
      <c r="L230" s="3" t="s">
        <v>10</v>
      </c>
      <c r="M230" s="3" t="s">
        <v>23</v>
      </c>
    </row>
    <row r="231" spans="1:13" ht="15.6" x14ac:dyDescent="0.3">
      <c r="A231" s="1">
        <v>232</v>
      </c>
      <c r="B231" s="13">
        <v>29.517241379310345</v>
      </c>
      <c r="C231" s="13">
        <v>275.86206896551727</v>
      </c>
      <c r="D231" s="1">
        <v>2</v>
      </c>
      <c r="E231" s="13">
        <v>152.39999999999998</v>
      </c>
      <c r="F231" s="2">
        <v>380.81915199999997</v>
      </c>
      <c r="G231" s="13">
        <f t="shared" si="3"/>
        <v>27.104848000000018</v>
      </c>
      <c r="H231" s="13">
        <v>22.22</v>
      </c>
      <c r="I231" s="7">
        <v>1.3299999999999999E-2</v>
      </c>
      <c r="J231" s="13">
        <v>49.09515199999997</v>
      </c>
      <c r="K231" s="7">
        <v>0.20066000000000001</v>
      </c>
      <c r="L231" s="3" t="s">
        <v>10</v>
      </c>
      <c r="M231" s="3" t="s">
        <v>23</v>
      </c>
    </row>
    <row r="232" spans="1:13" ht="15.6" x14ac:dyDescent="0.3">
      <c r="A232" s="1">
        <v>233</v>
      </c>
      <c r="B232" s="13">
        <v>29.03448275862069</v>
      </c>
      <c r="C232" s="13">
        <v>275.86206896551727</v>
      </c>
      <c r="D232" s="1">
        <v>2</v>
      </c>
      <c r="E232" s="13">
        <v>152.39999999999998</v>
      </c>
      <c r="F232" s="2">
        <v>380.81915199999997</v>
      </c>
      <c r="G232" s="13">
        <f t="shared" si="3"/>
        <v>27.104848000000018</v>
      </c>
      <c r="H232" s="13">
        <v>22.22</v>
      </c>
      <c r="I232" s="7">
        <v>1.5299999999999999E-2</v>
      </c>
      <c r="J232" s="13">
        <v>49.09515199999997</v>
      </c>
      <c r="K232" s="7">
        <v>0.25171399999999999</v>
      </c>
      <c r="L232" s="3" t="s">
        <v>10</v>
      </c>
      <c r="M232" s="3" t="s">
        <v>23</v>
      </c>
    </row>
    <row r="233" spans="1:13" ht="15.6" x14ac:dyDescent="0.3">
      <c r="A233" s="1">
        <v>234</v>
      </c>
      <c r="B233" s="13">
        <v>27.862068965517242</v>
      </c>
      <c r="C233" s="13">
        <v>275.86206896551727</v>
      </c>
      <c r="D233" s="1">
        <v>2</v>
      </c>
      <c r="E233" s="13">
        <v>152.39999999999998</v>
      </c>
      <c r="F233" s="2">
        <v>380.81915199999997</v>
      </c>
      <c r="G233" s="13">
        <f t="shared" si="3"/>
        <v>27.104848000000018</v>
      </c>
      <c r="H233" s="13">
        <v>22.22</v>
      </c>
      <c r="I233" s="7">
        <v>1.5299999999999999E-2</v>
      </c>
      <c r="J233" s="13">
        <v>49.09515199999997</v>
      </c>
      <c r="K233" s="7">
        <v>0.34518599999999999</v>
      </c>
      <c r="L233" s="3" t="s">
        <v>10</v>
      </c>
      <c r="M233" s="3" t="s">
        <v>23</v>
      </c>
    </row>
    <row r="234" spans="1:13" ht="15.6" x14ac:dyDescent="0.3">
      <c r="A234" s="1">
        <v>235</v>
      </c>
      <c r="B234" s="13">
        <v>24.620689655172413</v>
      </c>
      <c r="C234" s="13">
        <v>275.86206896551727</v>
      </c>
      <c r="D234" s="1">
        <v>1</v>
      </c>
      <c r="E234" s="13">
        <v>152.39999999999998</v>
      </c>
      <c r="F234" s="2">
        <v>380.86690399999998</v>
      </c>
      <c r="G234" s="13">
        <f t="shared" si="3"/>
        <v>43.954191999999978</v>
      </c>
      <c r="H234" s="13">
        <v>31.87</v>
      </c>
      <c r="I234" s="7">
        <v>1.6500000000000001E-2</v>
      </c>
      <c r="J234" s="13">
        <v>54.222904</v>
      </c>
      <c r="K234" s="7">
        <v>0.34696399999999999</v>
      </c>
      <c r="L234" s="3" t="s">
        <v>10</v>
      </c>
      <c r="M234" s="3" t="s">
        <v>23</v>
      </c>
    </row>
    <row r="235" spans="1:13" ht="15.6" x14ac:dyDescent="0.3">
      <c r="A235" s="1">
        <v>236</v>
      </c>
      <c r="B235" s="13">
        <v>28.689655172413794</v>
      </c>
      <c r="C235" s="13">
        <v>275.86206896551727</v>
      </c>
      <c r="D235" s="1">
        <v>1</v>
      </c>
      <c r="E235" s="13">
        <v>152.39999999999998</v>
      </c>
      <c r="F235" s="2">
        <v>380.86690399999998</v>
      </c>
      <c r="G235" s="13">
        <f t="shared" si="3"/>
        <v>43.954191999999978</v>
      </c>
      <c r="H235" s="13">
        <v>31.87</v>
      </c>
      <c r="I235" s="7">
        <v>2.0299999999999999E-2</v>
      </c>
      <c r="J235" s="13">
        <v>54.222904</v>
      </c>
      <c r="K235" s="7">
        <v>0.41605199999999992</v>
      </c>
      <c r="L235" s="3" t="s">
        <v>10</v>
      </c>
      <c r="M235" s="3" t="s">
        <v>23</v>
      </c>
    </row>
    <row r="236" spans="1:13" ht="15.6" x14ac:dyDescent="0.3">
      <c r="A236" s="1">
        <v>237</v>
      </c>
      <c r="B236" s="13">
        <v>26.620689655172413</v>
      </c>
      <c r="C236" s="13">
        <v>275.86206896551727</v>
      </c>
      <c r="D236" s="1">
        <v>2</v>
      </c>
      <c r="E236" s="13">
        <v>152.39999999999998</v>
      </c>
      <c r="F236" s="2">
        <v>381.05079999999992</v>
      </c>
      <c r="G236" s="13">
        <f t="shared" si="3"/>
        <v>25.349200000000017</v>
      </c>
      <c r="H236" s="13">
        <v>25.4</v>
      </c>
      <c r="I236" s="7">
        <v>2.0299999999999999E-2</v>
      </c>
      <c r="J236" s="13">
        <v>50.850799999999971</v>
      </c>
      <c r="K236" s="7">
        <v>0.52908200000000005</v>
      </c>
      <c r="L236" s="3" t="s">
        <v>10</v>
      </c>
      <c r="M236" s="3" t="s">
        <v>23</v>
      </c>
    </row>
    <row r="237" spans="1:13" ht="15.6" x14ac:dyDescent="0.3">
      <c r="A237" s="1">
        <v>238</v>
      </c>
      <c r="B237" s="13">
        <v>26.689655172413794</v>
      </c>
      <c r="C237" s="13">
        <v>275.86206896551727</v>
      </c>
      <c r="D237" s="1">
        <v>2</v>
      </c>
      <c r="E237" s="13">
        <v>152.39999999999998</v>
      </c>
      <c r="F237" s="2">
        <v>381.05079999999992</v>
      </c>
      <c r="G237" s="13">
        <f t="shared" si="3"/>
        <v>25.349200000000017</v>
      </c>
      <c r="H237" s="13">
        <v>25.4</v>
      </c>
      <c r="I237" s="7">
        <v>2.46E-2</v>
      </c>
      <c r="J237" s="13">
        <v>50.850799999999971</v>
      </c>
      <c r="K237" s="7">
        <v>0.27736799999999995</v>
      </c>
      <c r="L237" s="3" t="s">
        <v>10</v>
      </c>
      <c r="M237" s="3" t="s">
        <v>23</v>
      </c>
    </row>
    <row r="238" spans="1:13" ht="15.6" x14ac:dyDescent="0.3">
      <c r="A238" s="1">
        <v>239</v>
      </c>
      <c r="B238" s="13">
        <v>28.137931034482758</v>
      </c>
      <c r="C238" s="13">
        <v>275.86206896551727</v>
      </c>
      <c r="D238" s="1">
        <v>2</v>
      </c>
      <c r="E238" s="13">
        <v>152.39999999999998</v>
      </c>
      <c r="F238" s="2">
        <v>380.93294399999996</v>
      </c>
      <c r="G238" s="13">
        <f t="shared" si="3"/>
        <v>39.691055999999989</v>
      </c>
      <c r="H238" s="13">
        <v>28.32</v>
      </c>
      <c r="I238" s="7">
        <v>2.58E-2</v>
      </c>
      <c r="J238" s="13">
        <v>36.508944</v>
      </c>
      <c r="K238" s="7">
        <v>0.20370799999999997</v>
      </c>
      <c r="L238" s="3" t="s">
        <v>10</v>
      </c>
      <c r="M238" s="3" t="s">
        <v>23</v>
      </c>
    </row>
    <row r="239" spans="1:13" ht="15.6" x14ac:dyDescent="0.3">
      <c r="A239" s="1">
        <v>240</v>
      </c>
      <c r="B239" s="13">
        <v>20.965517241379299</v>
      </c>
      <c r="C239" s="13">
        <v>275.86206896551727</v>
      </c>
      <c r="D239" s="1">
        <v>2</v>
      </c>
      <c r="E239" s="13">
        <v>152.39999999999998</v>
      </c>
      <c r="F239" s="2">
        <v>381.26415999999995</v>
      </c>
      <c r="G239" s="13">
        <f t="shared" si="3"/>
        <v>23.611840000000008</v>
      </c>
      <c r="H239" s="13">
        <v>28.32</v>
      </c>
      <c r="I239" s="7">
        <v>2.58E-2</v>
      </c>
      <c r="J239" s="13">
        <v>52.588159999999981</v>
      </c>
      <c r="K239" s="7">
        <v>0.290576</v>
      </c>
      <c r="L239" s="3" t="s">
        <v>10</v>
      </c>
      <c r="M239" s="3" t="s">
        <v>23</v>
      </c>
    </row>
    <row r="240" spans="1:13" ht="15.6" x14ac:dyDescent="0.3">
      <c r="A240" s="1">
        <v>242</v>
      </c>
      <c r="B240" s="13">
        <v>28.551724137931036</v>
      </c>
      <c r="C240" s="13">
        <v>275.86206896551727</v>
      </c>
      <c r="D240" s="1">
        <v>2</v>
      </c>
      <c r="E240" s="13">
        <v>152.39999999999998</v>
      </c>
      <c r="F240" s="2">
        <v>381.26415999999995</v>
      </c>
      <c r="G240" s="13">
        <f t="shared" si="3"/>
        <v>23.611840000000008</v>
      </c>
      <c r="H240" s="13">
        <v>28.32</v>
      </c>
      <c r="I240" s="7">
        <v>2.58E-2</v>
      </c>
      <c r="J240" s="13">
        <v>52.588159999999981</v>
      </c>
      <c r="K240" s="7">
        <v>0.263652</v>
      </c>
      <c r="L240" s="3" t="s">
        <v>10</v>
      </c>
      <c r="M240" s="3" t="s">
        <v>23</v>
      </c>
    </row>
    <row r="241" spans="1:13" ht="15.6" x14ac:dyDescent="0.3">
      <c r="A241" s="1">
        <v>243</v>
      </c>
      <c r="B241" s="13">
        <v>24.413793103448278</v>
      </c>
      <c r="C241" s="13">
        <v>275.86206896551727</v>
      </c>
      <c r="D241" s="1">
        <v>2</v>
      </c>
      <c r="E241" s="13">
        <v>152.39999999999998</v>
      </c>
      <c r="F241" s="2">
        <v>381.26415999999995</v>
      </c>
      <c r="G241" s="13">
        <f t="shared" si="3"/>
        <v>23.611840000000008</v>
      </c>
      <c r="H241" s="13">
        <v>28.32</v>
      </c>
      <c r="I241" s="7">
        <v>1.01E-2</v>
      </c>
      <c r="J241" s="13">
        <v>52.588159999999981</v>
      </c>
      <c r="K241" s="7">
        <v>0.24155399999999996</v>
      </c>
      <c r="L241" s="3" t="s">
        <v>10</v>
      </c>
      <c r="M241" s="3" t="s">
        <v>23</v>
      </c>
    </row>
    <row r="242" spans="1:13" ht="15.6" x14ac:dyDescent="0.3">
      <c r="A242" s="1">
        <v>244</v>
      </c>
      <c r="B242" s="13">
        <v>27.310344827586206</v>
      </c>
      <c r="C242" s="13">
        <v>275.86206896551727</v>
      </c>
      <c r="D242" s="1">
        <v>1</v>
      </c>
      <c r="E242" s="13">
        <v>152.39999999999998</v>
      </c>
      <c r="F242" s="2">
        <v>583.88808799999993</v>
      </c>
      <c r="G242" s="13">
        <f t="shared" si="3"/>
        <v>44.311823999999987</v>
      </c>
      <c r="H242" s="13">
        <v>31.87</v>
      </c>
      <c r="I242" s="7">
        <v>1.01E-2</v>
      </c>
      <c r="J242" s="13">
        <v>54.044087999999995</v>
      </c>
      <c r="K242" s="7">
        <v>0.42011599999999993</v>
      </c>
      <c r="L242" s="3" t="s">
        <v>10</v>
      </c>
      <c r="M242" s="3" t="s">
        <v>23</v>
      </c>
    </row>
    <row r="243" spans="1:13" ht="15.6" x14ac:dyDescent="0.3">
      <c r="A243" s="1">
        <v>245</v>
      </c>
      <c r="B243" s="13">
        <v>24.96551724137931</v>
      </c>
      <c r="C243" s="13">
        <v>275.86206896551727</v>
      </c>
      <c r="D243" s="1">
        <v>1</v>
      </c>
      <c r="E243" s="13">
        <v>152.39999999999998</v>
      </c>
      <c r="F243" s="2">
        <v>583.88808799999993</v>
      </c>
      <c r="G243" s="13">
        <f t="shared" si="3"/>
        <v>44.311823999999987</v>
      </c>
      <c r="H243" s="13">
        <v>31.87</v>
      </c>
      <c r="I243" s="7">
        <v>1.2800000000000001E-2</v>
      </c>
      <c r="J243" s="13">
        <v>54.044087999999995</v>
      </c>
      <c r="K243" s="7">
        <v>0.37515799999999999</v>
      </c>
      <c r="L243" s="3" t="s">
        <v>10</v>
      </c>
      <c r="M243" s="3" t="s">
        <v>23</v>
      </c>
    </row>
    <row r="244" spans="1:13" ht="15.6" x14ac:dyDescent="0.3">
      <c r="A244" s="1">
        <v>246</v>
      </c>
      <c r="B244" s="13">
        <v>27.103448275862068</v>
      </c>
      <c r="C244" s="13">
        <v>275.86206896551727</v>
      </c>
      <c r="D244" s="1">
        <v>1</v>
      </c>
      <c r="E244" s="13">
        <v>152.39999999999998</v>
      </c>
      <c r="F244" s="2">
        <v>584.19745999999998</v>
      </c>
      <c r="G244" s="13">
        <f t="shared" si="3"/>
        <v>15.245080000000002</v>
      </c>
      <c r="H244" s="13">
        <v>35.81</v>
      </c>
      <c r="I244" s="7">
        <v>1.5900000000000001E-2</v>
      </c>
      <c r="J244" s="13">
        <v>68.577459999999988</v>
      </c>
      <c r="K244" s="7">
        <v>0.35382199999999997</v>
      </c>
      <c r="L244" s="3" t="s">
        <v>10</v>
      </c>
      <c r="M244" s="3" t="s">
        <v>23</v>
      </c>
    </row>
    <row r="245" spans="1:13" ht="15.6" x14ac:dyDescent="0.3">
      <c r="A245" s="1">
        <v>247</v>
      </c>
      <c r="B245" s="13">
        <v>22.413793103448199</v>
      </c>
      <c r="C245" s="13">
        <v>275.86206896551727</v>
      </c>
      <c r="D245" s="1">
        <v>2</v>
      </c>
      <c r="E245" s="13">
        <v>152.39999999999998</v>
      </c>
      <c r="F245" s="2">
        <v>584.53172400000005</v>
      </c>
      <c r="G245" s="13">
        <f t="shared" si="3"/>
        <v>23.544275999999947</v>
      </c>
      <c r="H245" s="13">
        <v>28.32</v>
      </c>
      <c r="I245" s="7">
        <v>1.5900000000000001E-2</v>
      </c>
      <c r="J245" s="13">
        <v>52.655724000000042</v>
      </c>
      <c r="K245" s="7">
        <v>0.324104</v>
      </c>
      <c r="L245" s="3" t="s">
        <v>10</v>
      </c>
      <c r="M245" s="3" t="s">
        <v>23</v>
      </c>
    </row>
    <row r="246" spans="1:13" ht="15.6" x14ac:dyDescent="0.3">
      <c r="A246" s="1">
        <v>248</v>
      </c>
      <c r="B246" s="13">
        <v>24.551724137931036</v>
      </c>
      <c r="C246" s="13">
        <v>275.86206896551727</v>
      </c>
      <c r="D246" s="1">
        <v>2</v>
      </c>
      <c r="E246" s="13">
        <v>152.39999999999998</v>
      </c>
      <c r="F246" s="2">
        <v>584.53172400000005</v>
      </c>
      <c r="G246" s="13">
        <f t="shared" si="3"/>
        <v>23.544275999999947</v>
      </c>
      <c r="H246" s="13">
        <v>28.32</v>
      </c>
      <c r="I246" s="7">
        <v>2.5000000000000001E-2</v>
      </c>
      <c r="J246" s="13">
        <v>52.655724000000042</v>
      </c>
      <c r="K246" s="7">
        <v>0.22352</v>
      </c>
      <c r="L246" s="3" t="s">
        <v>10</v>
      </c>
      <c r="M246" s="3" t="s">
        <v>23</v>
      </c>
    </row>
    <row r="247" spans="1:13" ht="15.6" x14ac:dyDescent="0.3">
      <c r="A247" s="1">
        <v>250</v>
      </c>
      <c r="B247" s="13">
        <v>25.448275862068964</v>
      </c>
      <c r="C247" s="13">
        <v>310.34482758620692</v>
      </c>
      <c r="D247" s="1">
        <v>1</v>
      </c>
      <c r="E247" s="13">
        <v>152.39999999999998</v>
      </c>
      <c r="F247" s="2">
        <v>381.05079999999992</v>
      </c>
      <c r="G247" s="13">
        <f t="shared" si="3"/>
        <v>50.698400000000035</v>
      </c>
      <c r="H247" s="13">
        <v>25.4</v>
      </c>
      <c r="I247" s="7">
        <v>1.01E-2</v>
      </c>
      <c r="J247" s="13">
        <v>50.850799999999971</v>
      </c>
      <c r="K247" s="7">
        <v>0.37668199999999996</v>
      </c>
      <c r="L247" s="3" t="s">
        <v>10</v>
      </c>
      <c r="M247" s="3" t="s">
        <v>23</v>
      </c>
    </row>
    <row r="248" spans="1:13" ht="15.6" x14ac:dyDescent="0.3">
      <c r="A248" s="1">
        <v>251</v>
      </c>
      <c r="B248" s="13">
        <v>25.862068965517242</v>
      </c>
      <c r="C248" s="13">
        <v>310.34482758620692</v>
      </c>
      <c r="D248" s="1">
        <v>1</v>
      </c>
      <c r="E248" s="13">
        <v>152.39999999999998</v>
      </c>
      <c r="F248" s="2">
        <v>381.05079999999992</v>
      </c>
      <c r="G248" s="13">
        <f t="shared" si="3"/>
        <v>50.698400000000035</v>
      </c>
      <c r="H248" s="13">
        <v>25.4</v>
      </c>
      <c r="I248" s="7">
        <v>1.01E-2</v>
      </c>
      <c r="J248" s="13">
        <v>50.850799999999971</v>
      </c>
      <c r="K248" s="7">
        <v>0.61010799999999998</v>
      </c>
      <c r="L248" s="3" t="s">
        <v>10</v>
      </c>
      <c r="M248" s="3" t="s">
        <v>23</v>
      </c>
    </row>
    <row r="249" spans="1:13" ht="15.6" x14ac:dyDescent="0.3">
      <c r="A249" s="1">
        <v>252</v>
      </c>
      <c r="B249" s="13">
        <v>30.068965517241381</v>
      </c>
      <c r="C249" s="13">
        <v>310.34482758620692</v>
      </c>
      <c r="D249" s="1">
        <v>2</v>
      </c>
      <c r="E249" s="13">
        <v>152.39999999999998</v>
      </c>
      <c r="F249" s="2">
        <v>381.31394399999999</v>
      </c>
      <c r="G249" s="13">
        <f t="shared" si="3"/>
        <v>34.738055999999986</v>
      </c>
      <c r="H249" s="13">
        <v>18.824999999999999</v>
      </c>
      <c r="I249" s="7">
        <v>1.0999999999999999E-2</v>
      </c>
      <c r="J249" s="13">
        <v>41.461944000000003</v>
      </c>
      <c r="K249" s="7">
        <v>0.36906199999999995</v>
      </c>
      <c r="L249" s="3" t="s">
        <v>10</v>
      </c>
      <c r="M249" s="3" t="s">
        <v>23</v>
      </c>
    </row>
    <row r="250" spans="1:13" ht="15.6" x14ac:dyDescent="0.3">
      <c r="A250" s="1">
        <v>253</v>
      </c>
      <c r="B250" s="13">
        <v>29.241379310344829</v>
      </c>
      <c r="C250" s="13">
        <v>310.34482758620692</v>
      </c>
      <c r="D250" s="1">
        <v>2</v>
      </c>
      <c r="E250" s="13">
        <v>152.39999999999998</v>
      </c>
      <c r="F250" s="2">
        <v>381.31394399999999</v>
      </c>
      <c r="G250" s="13">
        <f t="shared" si="3"/>
        <v>34.738055999999986</v>
      </c>
      <c r="H250" s="13">
        <v>18.824999999999999</v>
      </c>
      <c r="I250" s="7">
        <v>1.0999999999999999E-2</v>
      </c>
      <c r="J250" s="13">
        <v>41.461944000000003</v>
      </c>
      <c r="K250" s="7">
        <v>0.23266399999999998</v>
      </c>
      <c r="L250" s="3" t="s">
        <v>10</v>
      </c>
      <c r="M250" s="3" t="s">
        <v>23</v>
      </c>
    </row>
    <row r="251" spans="1:13" ht="15.6" x14ac:dyDescent="0.3">
      <c r="A251" s="1">
        <v>254</v>
      </c>
      <c r="B251" s="13">
        <v>27.172413793103448</v>
      </c>
      <c r="C251" s="13">
        <v>310.34482758620692</v>
      </c>
      <c r="D251" s="1">
        <v>2</v>
      </c>
      <c r="E251" s="13">
        <v>152.39999999999998</v>
      </c>
      <c r="F251" s="2">
        <v>380.32182</v>
      </c>
      <c r="G251" s="13">
        <f t="shared" si="3"/>
        <v>28.618179999999981</v>
      </c>
      <c r="H251" s="13">
        <v>18.824999999999999</v>
      </c>
      <c r="I251" s="7">
        <v>1.12E-2</v>
      </c>
      <c r="J251" s="13">
        <v>47.581820000000008</v>
      </c>
      <c r="K251" s="7">
        <v>0.270256</v>
      </c>
      <c r="L251" s="3" t="s">
        <v>10</v>
      </c>
      <c r="M251" s="3" t="s">
        <v>23</v>
      </c>
    </row>
    <row r="252" spans="1:13" ht="15.6" x14ac:dyDescent="0.3">
      <c r="A252" s="1">
        <v>255</v>
      </c>
      <c r="B252" s="13">
        <v>26.827586206896552</v>
      </c>
      <c r="C252" s="13">
        <v>310.34482758620692</v>
      </c>
      <c r="D252" s="1">
        <v>2</v>
      </c>
      <c r="E252" s="13">
        <v>152.39999999999998</v>
      </c>
      <c r="F252" s="2">
        <v>381.05130799999995</v>
      </c>
      <c r="G252" s="13">
        <f t="shared" si="3"/>
        <v>52.272692000000006</v>
      </c>
      <c r="H252" s="13">
        <v>22.22</v>
      </c>
      <c r="I252" s="7">
        <v>1.4200000000000001E-2</v>
      </c>
      <c r="J252" s="13">
        <v>23.927307999999982</v>
      </c>
      <c r="K252" s="7">
        <v>0.19253199999999998</v>
      </c>
      <c r="L252" s="3" t="s">
        <v>10</v>
      </c>
      <c r="M252" s="3" t="s">
        <v>23</v>
      </c>
    </row>
    <row r="253" spans="1:13" ht="15.6" x14ac:dyDescent="0.3">
      <c r="A253" s="1">
        <v>256</v>
      </c>
      <c r="B253" s="13">
        <v>22.413793103448278</v>
      </c>
      <c r="C253" s="13">
        <v>310.34482758620692</v>
      </c>
      <c r="D253" s="1">
        <v>2</v>
      </c>
      <c r="E253" s="13">
        <v>152.39999999999998</v>
      </c>
      <c r="F253" s="2">
        <v>380.81915199999997</v>
      </c>
      <c r="G253" s="13">
        <f t="shared" si="3"/>
        <v>27.104848000000018</v>
      </c>
      <c r="H253" s="13">
        <v>22.22</v>
      </c>
      <c r="I253" s="7">
        <v>1.5299999999999999E-2</v>
      </c>
      <c r="J253" s="13">
        <v>49.09515199999997</v>
      </c>
      <c r="K253" s="7">
        <v>0.30124400000000001</v>
      </c>
      <c r="L253" s="3" t="s">
        <v>10</v>
      </c>
      <c r="M253" s="3" t="s">
        <v>23</v>
      </c>
    </row>
    <row r="254" spans="1:13" ht="15.6" x14ac:dyDescent="0.3">
      <c r="A254" s="1">
        <v>257</v>
      </c>
      <c r="B254" s="13">
        <v>29.517241379310345</v>
      </c>
      <c r="C254" s="13">
        <v>310.34482758620692</v>
      </c>
      <c r="D254" s="1">
        <v>2</v>
      </c>
      <c r="E254" s="13">
        <v>152.39999999999998</v>
      </c>
      <c r="F254" s="2">
        <v>380.81915199999997</v>
      </c>
      <c r="G254" s="13">
        <f t="shared" ref="G254:G309" si="4">(E254-2*J254)/D254</f>
        <v>27.104848000000018</v>
      </c>
      <c r="H254" s="13">
        <v>22.22</v>
      </c>
      <c r="I254" s="7">
        <v>1.3299999999999999E-2</v>
      </c>
      <c r="J254" s="13">
        <v>49.09515199999997</v>
      </c>
      <c r="K254" s="7">
        <v>0.23621999999999996</v>
      </c>
      <c r="L254" s="3" t="s">
        <v>10</v>
      </c>
      <c r="M254" s="3" t="s">
        <v>23</v>
      </c>
    </row>
    <row r="255" spans="1:13" ht="15.6" x14ac:dyDescent="0.3">
      <c r="A255" s="1">
        <v>260</v>
      </c>
      <c r="B255" s="13">
        <v>24.620689655172413</v>
      </c>
      <c r="C255" s="13">
        <v>310.34482758620692</v>
      </c>
      <c r="D255" s="1">
        <v>1</v>
      </c>
      <c r="E255" s="13">
        <v>152.39999999999998</v>
      </c>
      <c r="F255" s="2">
        <v>380.86690399999998</v>
      </c>
      <c r="G255" s="13">
        <f t="shared" si="4"/>
        <v>43.954191999999978</v>
      </c>
      <c r="H255" s="13">
        <v>31.87</v>
      </c>
      <c r="I255" s="7">
        <v>1.6500000000000001E-2</v>
      </c>
      <c r="J255" s="13">
        <v>54.222904</v>
      </c>
      <c r="K255" s="7">
        <v>0.41249599999999997</v>
      </c>
      <c r="L255" s="3" t="s">
        <v>10</v>
      </c>
      <c r="M255" s="3" t="s">
        <v>23</v>
      </c>
    </row>
    <row r="256" spans="1:13" ht="15.6" x14ac:dyDescent="0.3">
      <c r="A256" s="1">
        <v>261</v>
      </c>
      <c r="B256" s="13">
        <v>28.689655172413794</v>
      </c>
      <c r="C256" s="13">
        <v>310.34482758620692</v>
      </c>
      <c r="D256" s="1">
        <v>1</v>
      </c>
      <c r="E256" s="13">
        <v>152.39999999999998</v>
      </c>
      <c r="F256" s="2">
        <v>380.86690399999998</v>
      </c>
      <c r="G256" s="13">
        <f t="shared" si="4"/>
        <v>43.954191999999978</v>
      </c>
      <c r="H256" s="13">
        <v>31.87</v>
      </c>
      <c r="I256" s="7">
        <v>2.0299999999999999E-2</v>
      </c>
      <c r="J256" s="13">
        <v>54.222904</v>
      </c>
      <c r="K256" s="7">
        <v>0.49021999999999999</v>
      </c>
      <c r="L256" s="3" t="s">
        <v>10</v>
      </c>
      <c r="M256" s="3" t="s">
        <v>23</v>
      </c>
    </row>
    <row r="257" spans="1:13" ht="15.6" x14ac:dyDescent="0.3">
      <c r="A257" s="1">
        <v>264</v>
      </c>
      <c r="B257" s="13">
        <v>28.137931034482758</v>
      </c>
      <c r="C257" s="13">
        <v>310.34482758620692</v>
      </c>
      <c r="D257" s="1">
        <v>2</v>
      </c>
      <c r="E257" s="13">
        <v>152.39999999999998</v>
      </c>
      <c r="F257" s="2">
        <v>380.93294399999996</v>
      </c>
      <c r="G257" s="13">
        <f t="shared" si="4"/>
        <v>39.691055999999989</v>
      </c>
      <c r="H257" s="13">
        <v>28.32</v>
      </c>
      <c r="I257" s="7">
        <v>2.58E-2</v>
      </c>
      <c r="J257" s="13">
        <v>36.508944</v>
      </c>
      <c r="K257" s="7">
        <v>0.23698199999999997</v>
      </c>
      <c r="L257" s="3" t="s">
        <v>10</v>
      </c>
      <c r="M257" s="3" t="s">
        <v>23</v>
      </c>
    </row>
    <row r="258" spans="1:13" ht="15.6" x14ac:dyDescent="0.3">
      <c r="A258" s="1">
        <v>269</v>
      </c>
      <c r="B258" s="13">
        <v>27.310344827586206</v>
      </c>
      <c r="C258" s="13">
        <v>310.45</v>
      </c>
      <c r="D258" s="1">
        <v>1</v>
      </c>
      <c r="E258" s="13">
        <v>152.39999999999998</v>
      </c>
      <c r="F258" s="2">
        <v>583.88808799999993</v>
      </c>
      <c r="G258" s="13">
        <f t="shared" si="4"/>
        <v>44.311823999999987</v>
      </c>
      <c r="H258" s="13">
        <v>31.87</v>
      </c>
      <c r="I258" s="7">
        <v>1.01E-2</v>
      </c>
      <c r="J258" s="13">
        <v>54.044087999999995</v>
      </c>
      <c r="K258" s="7">
        <v>0.48463199999999995</v>
      </c>
      <c r="L258" s="3" t="s">
        <v>11</v>
      </c>
    </row>
    <row r="259" spans="1:13" ht="15.6" x14ac:dyDescent="0.3">
      <c r="A259" s="1">
        <v>270</v>
      </c>
      <c r="B259" s="13">
        <v>24.96551724137931</v>
      </c>
      <c r="C259" s="13">
        <v>310.34482758620692</v>
      </c>
      <c r="D259" s="1">
        <v>1</v>
      </c>
      <c r="E259" s="13">
        <v>152.39999999999998</v>
      </c>
      <c r="F259" s="2">
        <v>583.88808799999993</v>
      </c>
      <c r="G259" s="13">
        <f t="shared" si="4"/>
        <v>44.311823999999987</v>
      </c>
      <c r="H259" s="13">
        <v>31.87</v>
      </c>
      <c r="I259" s="7">
        <v>1.2800000000000001E-2</v>
      </c>
      <c r="J259" s="13">
        <v>54.044087999999995</v>
      </c>
      <c r="K259" s="7">
        <v>0.43002200000000002</v>
      </c>
      <c r="L259" s="3" t="s">
        <v>11</v>
      </c>
    </row>
    <row r="260" spans="1:13" ht="15.6" x14ac:dyDescent="0.3">
      <c r="A260" s="1">
        <v>271</v>
      </c>
      <c r="B260" s="13">
        <v>27.103448275862068</v>
      </c>
      <c r="C260" s="13">
        <v>310.34482758620692</v>
      </c>
      <c r="D260" s="1">
        <v>1</v>
      </c>
      <c r="E260" s="13">
        <v>152.39999999999998</v>
      </c>
      <c r="F260" s="2">
        <v>584.19745999999998</v>
      </c>
      <c r="G260" s="13">
        <f t="shared" si="4"/>
        <v>15.245080000000002</v>
      </c>
      <c r="H260" s="13">
        <v>35.81</v>
      </c>
      <c r="I260" s="7">
        <v>1.5900000000000001E-2</v>
      </c>
      <c r="J260" s="13">
        <v>68.577459999999988</v>
      </c>
      <c r="K260" s="7">
        <v>0</v>
      </c>
      <c r="L260" s="3" t="s">
        <v>11</v>
      </c>
    </row>
    <row r="261" spans="1:13" ht="15.6" x14ac:dyDescent="0.3">
      <c r="A261" s="1">
        <v>272</v>
      </c>
      <c r="B261" s="13">
        <v>22.413793103448199</v>
      </c>
      <c r="C261" s="13">
        <v>310.34482758620692</v>
      </c>
      <c r="D261" s="1">
        <v>2</v>
      </c>
      <c r="E261" s="13">
        <v>152.39999999999998</v>
      </c>
      <c r="F261" s="2">
        <v>584.53172400000005</v>
      </c>
      <c r="G261" s="13">
        <f t="shared" si="4"/>
        <v>23.544275999999947</v>
      </c>
      <c r="H261" s="13">
        <v>28.32</v>
      </c>
      <c r="I261" s="7">
        <v>1.5900000000000001E-2</v>
      </c>
      <c r="J261" s="13">
        <v>52.655724000000042</v>
      </c>
      <c r="K261" s="7">
        <v>0</v>
      </c>
      <c r="L261" s="3" t="s">
        <v>11</v>
      </c>
    </row>
    <row r="262" spans="1:13" ht="15.6" x14ac:dyDescent="0.3">
      <c r="A262" s="1">
        <v>273</v>
      </c>
      <c r="B262" s="13">
        <v>24.551724137931036</v>
      </c>
      <c r="C262" s="13">
        <v>310.34482758620692</v>
      </c>
      <c r="D262" s="1">
        <v>2</v>
      </c>
      <c r="E262" s="13">
        <v>152.39999999999998</v>
      </c>
      <c r="F262" s="2">
        <v>584.53172400000005</v>
      </c>
      <c r="G262" s="13">
        <f t="shared" si="4"/>
        <v>23.544275999999947</v>
      </c>
      <c r="H262" s="13">
        <v>28.32</v>
      </c>
      <c r="I262" s="7">
        <v>2.5000000000000001E-2</v>
      </c>
      <c r="J262" s="13">
        <v>52.655724000000042</v>
      </c>
      <c r="K262" s="7">
        <v>0</v>
      </c>
      <c r="L262" s="3" t="s">
        <v>11</v>
      </c>
    </row>
    <row r="263" spans="1:13" ht="15.6" x14ac:dyDescent="0.3">
      <c r="A263" s="1">
        <v>274</v>
      </c>
      <c r="B263" s="14">
        <v>24.758620689655171</v>
      </c>
      <c r="C263" s="13">
        <v>310.34482758620692</v>
      </c>
      <c r="D263" s="1">
        <v>2</v>
      </c>
      <c r="E263" s="13">
        <v>152.39999999999998</v>
      </c>
      <c r="F263" s="25">
        <v>584.32191999999998</v>
      </c>
      <c r="G263" s="13">
        <f t="shared" si="4"/>
        <v>20.198080000000026</v>
      </c>
      <c r="H263" s="13">
        <v>35.81</v>
      </c>
      <c r="I263" s="7">
        <v>2.5000000000000001E-2</v>
      </c>
      <c r="J263" s="13">
        <v>56.001919999999963</v>
      </c>
      <c r="K263" s="13">
        <v>0</v>
      </c>
      <c r="L263" s="3" t="s">
        <v>11</v>
      </c>
    </row>
    <row r="264" spans="1:13" s="6" customFormat="1" x14ac:dyDescent="0.3">
      <c r="A264" s="1">
        <v>275</v>
      </c>
      <c r="B264" s="13">
        <v>42.51</v>
      </c>
      <c r="C264" s="13">
        <v>269.25524827586207</v>
      </c>
      <c r="D264" s="1">
        <v>4</v>
      </c>
      <c r="E264" s="13">
        <v>150</v>
      </c>
      <c r="F264" s="3">
        <v>150.114</v>
      </c>
      <c r="G264" s="13">
        <f t="shared" si="4"/>
        <v>30</v>
      </c>
      <c r="H264" s="13">
        <v>10</v>
      </c>
      <c r="I264" s="13">
        <v>1.4</v>
      </c>
      <c r="J264" s="13">
        <v>15</v>
      </c>
      <c r="K264" s="13">
        <v>0.10999999999999999</v>
      </c>
      <c r="L264" s="3" t="s">
        <v>11</v>
      </c>
      <c r="M264" s="3"/>
    </row>
    <row r="265" spans="1:13" x14ac:dyDescent="0.3">
      <c r="A265" s="1">
        <v>276</v>
      </c>
      <c r="B265" s="13">
        <v>42.51</v>
      </c>
      <c r="C265" s="13">
        <v>269.25524827586207</v>
      </c>
      <c r="D265" s="1">
        <v>4</v>
      </c>
      <c r="E265" s="13">
        <v>150</v>
      </c>
      <c r="F265" s="3">
        <v>150.114</v>
      </c>
      <c r="G265" s="13">
        <f t="shared" si="4"/>
        <v>30</v>
      </c>
      <c r="H265" s="13">
        <v>10</v>
      </c>
      <c r="I265" s="13">
        <v>1.4</v>
      </c>
      <c r="J265" s="13">
        <v>15</v>
      </c>
      <c r="K265" s="13">
        <v>0.10000000000000002</v>
      </c>
      <c r="L265" s="3" t="s">
        <v>11</v>
      </c>
    </row>
    <row r="266" spans="1:13" x14ac:dyDescent="0.3">
      <c r="A266" s="1">
        <v>277</v>
      </c>
      <c r="B266" s="13">
        <v>42.51</v>
      </c>
      <c r="C266" s="13">
        <v>269.25524827586207</v>
      </c>
      <c r="D266" s="1">
        <v>4</v>
      </c>
      <c r="E266" s="13">
        <v>150</v>
      </c>
      <c r="F266" s="3">
        <v>150.114</v>
      </c>
      <c r="G266" s="13">
        <f t="shared" si="4"/>
        <v>30</v>
      </c>
      <c r="H266" s="13">
        <v>10</v>
      </c>
      <c r="I266" s="13">
        <v>1.4</v>
      </c>
      <c r="J266" s="13">
        <v>15</v>
      </c>
      <c r="K266" s="13">
        <v>0.13</v>
      </c>
      <c r="L266" s="3" t="s">
        <v>11</v>
      </c>
    </row>
    <row r="267" spans="1:13" x14ac:dyDescent="0.3">
      <c r="A267" s="1">
        <v>278</v>
      </c>
      <c r="B267" s="13">
        <v>36.36</v>
      </c>
      <c r="C267" s="13">
        <v>269.25524827586207</v>
      </c>
      <c r="D267" s="1">
        <v>4</v>
      </c>
      <c r="E267" s="13">
        <v>150</v>
      </c>
      <c r="F267" s="3">
        <v>150.114</v>
      </c>
      <c r="G267" s="13">
        <f t="shared" si="4"/>
        <v>22.5</v>
      </c>
      <c r="H267" s="13">
        <v>10</v>
      </c>
      <c r="I267" s="13">
        <v>1.4</v>
      </c>
      <c r="J267" s="13">
        <v>30</v>
      </c>
      <c r="K267" s="13">
        <v>0.17</v>
      </c>
      <c r="L267" s="3" t="s">
        <v>11</v>
      </c>
    </row>
    <row r="268" spans="1:13" x14ac:dyDescent="0.3">
      <c r="A268" s="1">
        <v>279</v>
      </c>
      <c r="B268" s="13">
        <v>36.36</v>
      </c>
      <c r="C268" s="13">
        <v>269.25524827586207</v>
      </c>
      <c r="D268" s="1">
        <v>4</v>
      </c>
      <c r="E268" s="13">
        <v>150</v>
      </c>
      <c r="F268" s="3">
        <v>150.114</v>
      </c>
      <c r="G268" s="13">
        <f t="shared" si="4"/>
        <v>22.5</v>
      </c>
      <c r="H268" s="13">
        <v>10</v>
      </c>
      <c r="I268" s="13">
        <v>1.4</v>
      </c>
      <c r="J268" s="13">
        <v>30</v>
      </c>
      <c r="K268" s="13">
        <v>0.20000000000000004</v>
      </c>
      <c r="L268" s="3" t="s">
        <v>11</v>
      </c>
    </row>
    <row r="269" spans="1:13" x14ac:dyDescent="0.3">
      <c r="A269" s="1">
        <v>280</v>
      </c>
      <c r="B269" s="13">
        <v>36.36</v>
      </c>
      <c r="C269" s="13">
        <v>269.25524827586207</v>
      </c>
      <c r="D269" s="1">
        <v>4</v>
      </c>
      <c r="E269" s="13">
        <v>150</v>
      </c>
      <c r="F269" s="3">
        <v>150.114</v>
      </c>
      <c r="G269" s="13">
        <f t="shared" si="4"/>
        <v>22.5</v>
      </c>
      <c r="H269" s="13">
        <v>10</v>
      </c>
      <c r="I269" s="13">
        <v>1.4</v>
      </c>
      <c r="J269" s="13">
        <v>30</v>
      </c>
      <c r="K269" s="13">
        <v>0.18</v>
      </c>
      <c r="L269" s="3" t="s">
        <v>11</v>
      </c>
    </row>
    <row r="270" spans="1:13" x14ac:dyDescent="0.3">
      <c r="A270" s="1">
        <v>281</v>
      </c>
      <c r="B270" s="13">
        <v>42.51</v>
      </c>
      <c r="C270" s="13">
        <v>269.25524827586207</v>
      </c>
      <c r="D270" s="1">
        <v>4</v>
      </c>
      <c r="E270" s="13">
        <v>150</v>
      </c>
      <c r="F270" s="3">
        <v>150.114</v>
      </c>
      <c r="G270" s="13">
        <f t="shared" si="4"/>
        <v>17.5</v>
      </c>
      <c r="H270" s="13">
        <v>10</v>
      </c>
      <c r="I270" s="13">
        <v>1.4</v>
      </c>
      <c r="J270" s="13">
        <v>40</v>
      </c>
      <c r="K270" s="13">
        <v>0.18</v>
      </c>
      <c r="L270" s="3" t="s">
        <v>11</v>
      </c>
    </row>
    <row r="271" spans="1:13" x14ac:dyDescent="0.3">
      <c r="A271" s="1">
        <v>282</v>
      </c>
      <c r="B271" s="13">
        <v>42.51</v>
      </c>
      <c r="C271" s="13">
        <v>269.25524827586207</v>
      </c>
      <c r="D271" s="1">
        <v>4</v>
      </c>
      <c r="E271" s="13">
        <v>150</v>
      </c>
      <c r="F271" s="3">
        <v>150.114</v>
      </c>
      <c r="G271" s="13">
        <f t="shared" si="4"/>
        <v>17.5</v>
      </c>
      <c r="H271" s="13">
        <v>10</v>
      </c>
      <c r="I271" s="13">
        <v>1.4</v>
      </c>
      <c r="J271" s="13">
        <v>40</v>
      </c>
      <c r="K271" s="13">
        <v>0.24</v>
      </c>
      <c r="L271" s="3" t="s">
        <v>11</v>
      </c>
    </row>
    <row r="272" spans="1:13" x14ac:dyDescent="0.3">
      <c r="A272" s="1">
        <v>283</v>
      </c>
      <c r="B272" s="13">
        <v>42.51</v>
      </c>
      <c r="C272" s="13">
        <v>269.25524827586207</v>
      </c>
      <c r="D272" s="1">
        <v>4</v>
      </c>
      <c r="E272" s="13">
        <v>150</v>
      </c>
      <c r="F272" s="3">
        <v>150.114</v>
      </c>
      <c r="G272" s="13">
        <f t="shared" si="4"/>
        <v>17.5</v>
      </c>
      <c r="H272" s="13">
        <v>10</v>
      </c>
      <c r="I272" s="13">
        <v>1.4</v>
      </c>
      <c r="J272" s="13">
        <v>40</v>
      </c>
      <c r="K272" s="13">
        <v>0.16</v>
      </c>
      <c r="L272" s="3" t="s">
        <v>11</v>
      </c>
    </row>
    <row r="273" spans="1:13" x14ac:dyDescent="0.3">
      <c r="A273" s="1">
        <v>284</v>
      </c>
      <c r="B273" s="13">
        <v>36.44</v>
      </c>
      <c r="C273" s="13">
        <v>269.25524827586207</v>
      </c>
      <c r="D273" s="1">
        <v>4</v>
      </c>
      <c r="E273" s="13">
        <v>150</v>
      </c>
      <c r="F273" s="3">
        <v>150.114</v>
      </c>
      <c r="G273" s="13">
        <f t="shared" si="4"/>
        <v>12.5</v>
      </c>
      <c r="H273" s="13">
        <v>10</v>
      </c>
      <c r="I273" s="13">
        <v>1.4</v>
      </c>
      <c r="J273" s="13">
        <v>50</v>
      </c>
      <c r="K273" s="13">
        <v>0.31</v>
      </c>
      <c r="L273" s="3" t="s">
        <v>11</v>
      </c>
    </row>
    <row r="274" spans="1:13" x14ac:dyDescent="0.3">
      <c r="A274" s="1">
        <v>285</v>
      </c>
      <c r="B274" s="13">
        <v>36.44</v>
      </c>
      <c r="C274" s="13">
        <v>269.25524827586207</v>
      </c>
      <c r="D274" s="1">
        <v>4</v>
      </c>
      <c r="E274" s="13">
        <v>150</v>
      </c>
      <c r="F274" s="3">
        <v>150.114</v>
      </c>
      <c r="G274" s="13">
        <f t="shared" si="4"/>
        <v>12.5</v>
      </c>
      <c r="H274" s="13">
        <v>10</v>
      </c>
      <c r="I274" s="13">
        <v>1.4</v>
      </c>
      <c r="J274" s="13">
        <v>50</v>
      </c>
      <c r="K274" s="13">
        <v>0.32</v>
      </c>
      <c r="L274" s="3" t="s">
        <v>11</v>
      </c>
    </row>
    <row r="275" spans="1:13" x14ac:dyDescent="0.3">
      <c r="A275" s="1">
        <v>286</v>
      </c>
      <c r="B275" s="13">
        <v>36.44</v>
      </c>
      <c r="C275" s="13">
        <v>269.25524827586207</v>
      </c>
      <c r="D275" s="1">
        <v>4</v>
      </c>
      <c r="E275" s="13">
        <v>150</v>
      </c>
      <c r="F275" s="3">
        <v>150.114</v>
      </c>
      <c r="G275" s="13">
        <f t="shared" si="4"/>
        <v>12.5</v>
      </c>
      <c r="H275" s="13">
        <v>10</v>
      </c>
      <c r="I275" s="13">
        <v>1.4</v>
      </c>
      <c r="J275" s="13">
        <v>50</v>
      </c>
      <c r="K275" s="13">
        <v>0.27</v>
      </c>
      <c r="L275" s="3" t="s">
        <v>11</v>
      </c>
    </row>
    <row r="276" spans="1:13" x14ac:dyDescent="0.3">
      <c r="A276" s="1">
        <v>287</v>
      </c>
      <c r="B276" s="13">
        <v>42.51</v>
      </c>
      <c r="C276" s="13">
        <v>319.54165517241381</v>
      </c>
      <c r="D276" s="1">
        <v>4</v>
      </c>
      <c r="E276" s="13">
        <v>150</v>
      </c>
      <c r="F276" s="3">
        <v>150.114</v>
      </c>
      <c r="G276" s="13">
        <f t="shared" si="4"/>
        <v>30</v>
      </c>
      <c r="H276" s="13">
        <v>10</v>
      </c>
      <c r="I276" s="13">
        <v>1.4</v>
      </c>
      <c r="J276" s="13">
        <v>15</v>
      </c>
      <c r="K276" s="13">
        <v>0.13</v>
      </c>
      <c r="L276" s="3" t="s">
        <v>11</v>
      </c>
    </row>
    <row r="277" spans="1:13" x14ac:dyDescent="0.3">
      <c r="A277" s="1">
        <v>288</v>
      </c>
      <c r="B277" s="13">
        <v>42.51</v>
      </c>
      <c r="C277" s="13">
        <v>319.54165517241381</v>
      </c>
      <c r="D277" s="1">
        <v>4</v>
      </c>
      <c r="E277" s="13">
        <v>150</v>
      </c>
      <c r="F277" s="3">
        <v>150.114</v>
      </c>
      <c r="G277" s="13">
        <f t="shared" si="4"/>
        <v>30</v>
      </c>
      <c r="H277" s="13">
        <v>10</v>
      </c>
      <c r="I277" s="13">
        <v>1.4</v>
      </c>
      <c r="J277" s="13">
        <v>15</v>
      </c>
      <c r="K277" s="13">
        <v>0.10999999999999999</v>
      </c>
      <c r="L277" s="3" t="s">
        <v>11</v>
      </c>
    </row>
    <row r="278" spans="1:13" x14ac:dyDescent="0.3">
      <c r="A278" s="1">
        <v>289</v>
      </c>
      <c r="B278" s="13">
        <v>42.51</v>
      </c>
      <c r="C278" s="13">
        <v>319.54165517241381</v>
      </c>
      <c r="D278" s="1">
        <v>4</v>
      </c>
      <c r="E278" s="13">
        <v>150</v>
      </c>
      <c r="F278" s="3">
        <v>150.114</v>
      </c>
      <c r="G278" s="13">
        <f t="shared" si="4"/>
        <v>30</v>
      </c>
      <c r="H278" s="13">
        <v>10</v>
      </c>
      <c r="I278" s="13">
        <v>1.4</v>
      </c>
      <c r="J278" s="13">
        <v>15</v>
      </c>
      <c r="K278" s="13">
        <v>0.15</v>
      </c>
      <c r="L278" s="3" t="s">
        <v>11</v>
      </c>
    </row>
    <row r="279" spans="1:13" x14ac:dyDescent="0.3">
      <c r="A279" s="1">
        <v>290</v>
      </c>
      <c r="B279" s="13">
        <v>36.36</v>
      </c>
      <c r="C279" s="13">
        <v>319.54165517241381</v>
      </c>
      <c r="D279" s="1">
        <v>4</v>
      </c>
      <c r="E279" s="13">
        <v>150</v>
      </c>
      <c r="F279" s="3">
        <v>150.114</v>
      </c>
      <c r="G279" s="13">
        <f t="shared" si="4"/>
        <v>22.5</v>
      </c>
      <c r="H279" s="13">
        <v>10</v>
      </c>
      <c r="I279" s="13">
        <v>1.4</v>
      </c>
      <c r="J279" s="13">
        <v>30</v>
      </c>
      <c r="K279" s="13">
        <v>0.21999999999999997</v>
      </c>
      <c r="L279" s="3" t="s">
        <v>11</v>
      </c>
    </row>
    <row r="280" spans="1:13" x14ac:dyDescent="0.3">
      <c r="A280" s="1">
        <v>291</v>
      </c>
      <c r="B280" s="13">
        <v>36.36</v>
      </c>
      <c r="C280" s="13">
        <v>319.54165517241381</v>
      </c>
      <c r="D280" s="1">
        <v>4</v>
      </c>
      <c r="E280" s="13">
        <v>150</v>
      </c>
      <c r="F280" s="3">
        <v>150.114</v>
      </c>
      <c r="G280" s="13">
        <f t="shared" si="4"/>
        <v>22.5</v>
      </c>
      <c r="H280" s="13">
        <v>10</v>
      </c>
      <c r="I280" s="13">
        <v>1.4</v>
      </c>
      <c r="J280" s="13">
        <v>30</v>
      </c>
      <c r="K280" s="13">
        <v>0.21999999999999997</v>
      </c>
      <c r="L280" s="3" t="s">
        <v>11</v>
      </c>
    </row>
    <row r="281" spans="1:13" x14ac:dyDescent="0.3">
      <c r="A281" s="1">
        <v>292</v>
      </c>
      <c r="B281" s="13">
        <v>36.36</v>
      </c>
      <c r="C281" s="13">
        <v>319.54165517241381</v>
      </c>
      <c r="D281" s="1">
        <v>4</v>
      </c>
      <c r="E281" s="13">
        <v>150</v>
      </c>
      <c r="F281" s="3">
        <v>150.114</v>
      </c>
      <c r="G281" s="13">
        <f t="shared" si="4"/>
        <v>22.5</v>
      </c>
      <c r="H281" s="13">
        <v>10</v>
      </c>
      <c r="I281" s="13">
        <v>1.4</v>
      </c>
      <c r="J281" s="13">
        <v>30</v>
      </c>
      <c r="K281" s="13">
        <v>0.20000000000000004</v>
      </c>
      <c r="L281" s="3" t="s">
        <v>11</v>
      </c>
    </row>
    <row r="282" spans="1:13" x14ac:dyDescent="0.3">
      <c r="A282" s="1">
        <v>293</v>
      </c>
      <c r="B282" s="13">
        <v>42.51</v>
      </c>
      <c r="C282" s="13">
        <v>319.54165517241381</v>
      </c>
      <c r="D282" s="1">
        <v>4</v>
      </c>
      <c r="E282" s="13">
        <v>150</v>
      </c>
      <c r="F282" s="3">
        <v>150.114</v>
      </c>
      <c r="G282" s="13">
        <f t="shared" si="4"/>
        <v>17.5</v>
      </c>
      <c r="H282" s="13">
        <v>10</v>
      </c>
      <c r="I282" s="13">
        <v>1.4</v>
      </c>
      <c r="J282" s="13">
        <v>40</v>
      </c>
      <c r="K282" s="13">
        <v>0.21</v>
      </c>
      <c r="L282" s="3" t="s">
        <v>11</v>
      </c>
    </row>
    <row r="283" spans="1:13" x14ac:dyDescent="0.3">
      <c r="A283" s="1">
        <v>294</v>
      </c>
      <c r="B283" s="13">
        <v>42.51</v>
      </c>
      <c r="C283" s="13">
        <v>319.54165517241381</v>
      </c>
      <c r="D283" s="1">
        <v>4</v>
      </c>
      <c r="E283" s="13">
        <v>150</v>
      </c>
      <c r="F283" s="3">
        <v>150.114</v>
      </c>
      <c r="G283" s="13">
        <f t="shared" si="4"/>
        <v>17.5</v>
      </c>
      <c r="H283" s="13">
        <v>10</v>
      </c>
      <c r="I283" s="13">
        <v>1.4</v>
      </c>
      <c r="J283" s="13">
        <v>40</v>
      </c>
      <c r="K283" s="13">
        <v>0.3</v>
      </c>
      <c r="L283" s="3" t="s">
        <v>11</v>
      </c>
    </row>
    <row r="284" spans="1:13" x14ac:dyDescent="0.3">
      <c r="A284" s="1">
        <v>295</v>
      </c>
      <c r="B284" s="13">
        <v>42.51</v>
      </c>
      <c r="C284" s="13">
        <v>319.54165517241381</v>
      </c>
      <c r="D284" s="1">
        <v>4</v>
      </c>
      <c r="E284" s="13">
        <v>150</v>
      </c>
      <c r="F284" s="3">
        <v>150.114</v>
      </c>
      <c r="G284" s="13">
        <f t="shared" si="4"/>
        <v>17.5</v>
      </c>
      <c r="H284" s="13">
        <v>10</v>
      </c>
      <c r="I284" s="13">
        <v>1.4</v>
      </c>
      <c r="J284" s="13">
        <v>40</v>
      </c>
      <c r="K284" s="13">
        <v>0.17</v>
      </c>
      <c r="L284" s="3" t="s">
        <v>11</v>
      </c>
    </row>
    <row r="285" spans="1:13" x14ac:dyDescent="0.3">
      <c r="A285" s="1">
        <v>296</v>
      </c>
      <c r="B285" s="13">
        <v>36.44</v>
      </c>
      <c r="C285" s="13">
        <v>319.54165517241381</v>
      </c>
      <c r="D285" s="1">
        <v>4</v>
      </c>
      <c r="E285" s="13">
        <v>150</v>
      </c>
      <c r="F285" s="3">
        <v>150.114</v>
      </c>
      <c r="G285" s="13">
        <f t="shared" si="4"/>
        <v>12.5</v>
      </c>
      <c r="H285" s="13">
        <v>10</v>
      </c>
      <c r="I285" s="13">
        <v>1.4</v>
      </c>
      <c r="J285" s="13">
        <v>50</v>
      </c>
      <c r="K285" s="13">
        <v>0.38</v>
      </c>
      <c r="L285" s="3" t="s">
        <v>11</v>
      </c>
    </row>
    <row r="286" spans="1:13" x14ac:dyDescent="0.3">
      <c r="A286" s="1">
        <v>297</v>
      </c>
      <c r="B286" s="13">
        <v>36.44</v>
      </c>
      <c r="C286" s="13">
        <v>319.54165517241381</v>
      </c>
      <c r="D286" s="1">
        <v>4</v>
      </c>
      <c r="E286" s="13">
        <v>150</v>
      </c>
      <c r="F286" s="3">
        <v>150.114</v>
      </c>
      <c r="G286" s="13">
        <f t="shared" si="4"/>
        <v>12.5</v>
      </c>
      <c r="H286" s="13">
        <v>10</v>
      </c>
      <c r="I286" s="13">
        <v>1.4</v>
      </c>
      <c r="J286" s="13">
        <v>50</v>
      </c>
      <c r="K286" s="13">
        <v>0.39</v>
      </c>
      <c r="L286" s="3" t="s">
        <v>11</v>
      </c>
    </row>
    <row r="287" spans="1:13" x14ac:dyDescent="0.3">
      <c r="A287" s="1">
        <v>298</v>
      </c>
      <c r="B287" s="13">
        <v>36.44</v>
      </c>
      <c r="C287" s="13">
        <v>319.54165517241381</v>
      </c>
      <c r="D287" s="1">
        <v>4</v>
      </c>
      <c r="E287" s="13">
        <v>150</v>
      </c>
      <c r="F287" s="3">
        <v>150.114</v>
      </c>
      <c r="G287" s="13">
        <f t="shared" si="4"/>
        <v>12.5</v>
      </c>
      <c r="H287" s="13">
        <v>10</v>
      </c>
      <c r="I287" s="13">
        <v>1.4</v>
      </c>
      <c r="J287" s="13">
        <v>50</v>
      </c>
      <c r="K287" s="13">
        <v>0.32</v>
      </c>
      <c r="L287" s="3" t="s">
        <v>11</v>
      </c>
    </row>
    <row r="288" spans="1:13" ht="15.6" x14ac:dyDescent="0.3">
      <c r="A288" s="1">
        <v>299</v>
      </c>
      <c r="B288" s="15">
        <v>30</v>
      </c>
      <c r="C288" s="15">
        <v>200</v>
      </c>
      <c r="D288" s="16">
        <v>5</v>
      </c>
      <c r="E288" s="15">
        <v>250</v>
      </c>
      <c r="F288" s="26">
        <v>250</v>
      </c>
      <c r="G288" s="13">
        <f t="shared" si="4"/>
        <v>38</v>
      </c>
      <c r="H288" s="15">
        <v>16</v>
      </c>
      <c r="I288" s="15">
        <v>5.6000000000000001E-2</v>
      </c>
      <c r="J288" s="15">
        <v>30</v>
      </c>
      <c r="K288" s="15">
        <v>0.10199999999999999</v>
      </c>
      <c r="L288" s="10" t="s">
        <v>10</v>
      </c>
      <c r="M288" s="10" t="s">
        <v>12</v>
      </c>
    </row>
    <row r="289" spans="1:17" ht="15.6" x14ac:dyDescent="0.3">
      <c r="A289" s="1">
        <v>300</v>
      </c>
      <c r="B289" s="15">
        <v>30</v>
      </c>
      <c r="C289" s="15">
        <v>200</v>
      </c>
      <c r="D289" s="16">
        <v>5</v>
      </c>
      <c r="E289" s="15">
        <v>250</v>
      </c>
      <c r="F289" s="26">
        <v>250</v>
      </c>
      <c r="G289" s="13">
        <f t="shared" si="4"/>
        <v>38</v>
      </c>
      <c r="H289" s="15">
        <v>16</v>
      </c>
      <c r="I289" s="15">
        <v>8.6999999999999994E-2</v>
      </c>
      <c r="J289" s="15">
        <v>30</v>
      </c>
      <c r="K289" s="15">
        <v>0.107</v>
      </c>
      <c r="L289" s="10" t="s">
        <v>10</v>
      </c>
      <c r="M289" s="10" t="s">
        <v>12</v>
      </c>
    </row>
    <row r="290" spans="1:17" ht="15.6" x14ac:dyDescent="0.3">
      <c r="A290" s="1">
        <v>301</v>
      </c>
      <c r="B290" s="15">
        <v>30</v>
      </c>
      <c r="C290" s="15">
        <v>200</v>
      </c>
      <c r="D290" s="16">
        <v>5</v>
      </c>
      <c r="E290" s="15">
        <v>250</v>
      </c>
      <c r="F290" s="26">
        <v>250</v>
      </c>
      <c r="G290" s="13">
        <f t="shared" si="4"/>
        <v>38</v>
      </c>
      <c r="H290" s="15">
        <v>16</v>
      </c>
      <c r="I290" s="15">
        <v>1.2E-2</v>
      </c>
      <c r="J290" s="15">
        <v>30</v>
      </c>
      <c r="K290" s="15">
        <v>0.113</v>
      </c>
      <c r="L290" s="10" t="s">
        <v>10</v>
      </c>
      <c r="M290" s="10" t="s">
        <v>12</v>
      </c>
    </row>
    <row r="291" spans="1:17" ht="15.6" x14ac:dyDescent="0.3">
      <c r="A291" s="1">
        <v>302</v>
      </c>
      <c r="B291" s="15">
        <v>30</v>
      </c>
      <c r="C291" s="15">
        <v>140</v>
      </c>
      <c r="D291" s="16">
        <v>5</v>
      </c>
      <c r="E291" s="15">
        <v>250</v>
      </c>
      <c r="F291" s="26">
        <v>250</v>
      </c>
      <c r="G291" s="13">
        <f t="shared" si="4"/>
        <v>38</v>
      </c>
      <c r="H291" s="15">
        <v>16</v>
      </c>
      <c r="I291" s="15">
        <v>8.6999999999999994E-2</v>
      </c>
      <c r="J291" s="15">
        <v>30</v>
      </c>
      <c r="K291" s="15">
        <v>6.8199999999999997E-2</v>
      </c>
      <c r="L291" s="10" t="s">
        <v>10</v>
      </c>
      <c r="M291" s="10" t="s">
        <v>12</v>
      </c>
    </row>
    <row r="292" spans="1:17" ht="15.6" x14ac:dyDescent="0.3">
      <c r="A292" s="1">
        <v>303</v>
      </c>
      <c r="B292" s="15">
        <v>30</v>
      </c>
      <c r="C292" s="15">
        <v>140</v>
      </c>
      <c r="D292" s="16">
        <v>2</v>
      </c>
      <c r="E292" s="15">
        <v>250</v>
      </c>
      <c r="F292" s="26">
        <v>250</v>
      </c>
      <c r="G292" s="13">
        <f t="shared" si="4"/>
        <v>95</v>
      </c>
      <c r="H292" s="15">
        <v>25</v>
      </c>
      <c r="I292" s="15">
        <v>8.5800000000000001E-2</v>
      </c>
      <c r="J292" s="15">
        <v>30</v>
      </c>
      <c r="K292" s="15">
        <v>0.158</v>
      </c>
      <c r="L292" s="10" t="s">
        <v>10</v>
      </c>
      <c r="M292" s="10" t="s">
        <v>12</v>
      </c>
    </row>
    <row r="293" spans="1:17" ht="15.6" x14ac:dyDescent="0.3">
      <c r="A293" s="1">
        <v>304</v>
      </c>
      <c r="B293" s="15">
        <v>30</v>
      </c>
      <c r="C293" s="15">
        <v>200</v>
      </c>
      <c r="D293" s="16">
        <v>5</v>
      </c>
      <c r="E293" s="15">
        <v>250</v>
      </c>
      <c r="F293" s="26">
        <v>250</v>
      </c>
      <c r="G293" s="13">
        <f t="shared" si="4"/>
        <v>38</v>
      </c>
      <c r="H293" s="15">
        <v>16</v>
      </c>
      <c r="I293" s="15">
        <v>5.6000000000000001E-2</v>
      </c>
      <c r="J293" s="15">
        <v>30</v>
      </c>
      <c r="K293" s="15">
        <v>0.10100000000000001</v>
      </c>
      <c r="L293" s="10" t="s">
        <v>10</v>
      </c>
      <c r="M293" s="10" t="s">
        <v>13</v>
      </c>
    </row>
    <row r="294" spans="1:17" ht="15.6" x14ac:dyDescent="0.3">
      <c r="A294" s="1">
        <v>305</v>
      </c>
      <c r="B294" s="15">
        <v>30</v>
      </c>
      <c r="C294" s="15">
        <v>200</v>
      </c>
      <c r="D294" s="16">
        <v>5</v>
      </c>
      <c r="E294" s="15">
        <v>250</v>
      </c>
      <c r="F294" s="26">
        <v>250</v>
      </c>
      <c r="G294" s="13">
        <f t="shared" si="4"/>
        <v>38</v>
      </c>
      <c r="H294" s="15">
        <v>16</v>
      </c>
      <c r="I294" s="15">
        <v>8.6999999999999994E-2</v>
      </c>
      <c r="J294" s="15">
        <v>30</v>
      </c>
      <c r="K294" s="15">
        <v>0.106</v>
      </c>
      <c r="L294" s="10" t="s">
        <v>10</v>
      </c>
      <c r="M294" s="10" t="s">
        <v>13</v>
      </c>
    </row>
    <row r="295" spans="1:17" ht="15.6" x14ac:dyDescent="0.3">
      <c r="A295" s="1">
        <v>306</v>
      </c>
      <c r="B295" s="15">
        <v>30</v>
      </c>
      <c r="C295" s="15">
        <v>200</v>
      </c>
      <c r="D295" s="16">
        <v>5</v>
      </c>
      <c r="E295" s="15">
        <v>250</v>
      </c>
      <c r="F295" s="26">
        <v>250</v>
      </c>
      <c r="G295" s="13">
        <f t="shared" si="4"/>
        <v>38</v>
      </c>
      <c r="H295" s="15">
        <v>16</v>
      </c>
      <c r="I295" s="15">
        <v>1.2E-2</v>
      </c>
      <c r="J295" s="15">
        <v>30</v>
      </c>
      <c r="K295" s="15">
        <v>0.111</v>
      </c>
      <c r="L295" s="10" t="s">
        <v>10</v>
      </c>
      <c r="M295" s="10" t="s">
        <v>13</v>
      </c>
    </row>
    <row r="296" spans="1:17" ht="15.6" x14ac:dyDescent="0.3">
      <c r="A296" s="1">
        <v>307</v>
      </c>
      <c r="B296" s="15">
        <v>30</v>
      </c>
      <c r="C296" s="15">
        <v>140</v>
      </c>
      <c r="D296" s="16">
        <v>5</v>
      </c>
      <c r="E296" s="15">
        <v>250</v>
      </c>
      <c r="F296" s="26">
        <v>250</v>
      </c>
      <c r="G296" s="13">
        <f t="shared" si="4"/>
        <v>38</v>
      </c>
      <c r="H296" s="15">
        <v>16</v>
      </c>
      <c r="I296" s="15">
        <v>8.6999999999999994E-2</v>
      </c>
      <c r="J296" s="15">
        <v>30</v>
      </c>
      <c r="K296" s="15">
        <v>7.4200000000000002E-2</v>
      </c>
      <c r="L296" s="10" t="s">
        <v>10</v>
      </c>
      <c r="M296" s="10" t="s">
        <v>13</v>
      </c>
    </row>
    <row r="297" spans="1:17" ht="15.6" x14ac:dyDescent="0.3">
      <c r="A297" s="1">
        <v>308</v>
      </c>
      <c r="B297" s="15">
        <v>30</v>
      </c>
      <c r="C297" s="15">
        <v>140</v>
      </c>
      <c r="D297" s="16">
        <v>2</v>
      </c>
      <c r="E297" s="15">
        <v>250</v>
      </c>
      <c r="F297" s="26">
        <v>250</v>
      </c>
      <c r="G297" s="13">
        <f t="shared" si="4"/>
        <v>95</v>
      </c>
      <c r="H297" s="15">
        <v>25</v>
      </c>
      <c r="I297" s="15">
        <v>8.5800000000000001E-2</v>
      </c>
      <c r="J297" s="15">
        <v>30</v>
      </c>
      <c r="K297" s="15">
        <v>0.23100000000000001</v>
      </c>
      <c r="L297" s="10" t="s">
        <v>10</v>
      </c>
      <c r="M297" s="10" t="s">
        <v>13</v>
      </c>
    </row>
    <row r="298" spans="1:17" ht="15.6" x14ac:dyDescent="0.3">
      <c r="A298" s="1">
        <v>309</v>
      </c>
      <c r="B298" s="15">
        <v>30</v>
      </c>
      <c r="C298" s="15">
        <v>200</v>
      </c>
      <c r="D298" s="16">
        <v>5</v>
      </c>
      <c r="E298" s="15">
        <v>250</v>
      </c>
      <c r="F298" s="26">
        <v>250</v>
      </c>
      <c r="G298" s="13">
        <f t="shared" si="4"/>
        <v>38</v>
      </c>
      <c r="H298" s="15">
        <v>16</v>
      </c>
      <c r="I298" s="15">
        <v>5.6000000000000001E-2</v>
      </c>
      <c r="J298" s="15">
        <v>30</v>
      </c>
      <c r="K298" s="15">
        <v>0.14699999999999999</v>
      </c>
      <c r="L298" s="10" t="s">
        <v>10</v>
      </c>
      <c r="M298" s="10" t="s">
        <v>14</v>
      </c>
    </row>
    <row r="299" spans="1:17" ht="15.6" x14ac:dyDescent="0.3">
      <c r="A299" s="1">
        <v>310</v>
      </c>
      <c r="B299" s="15">
        <v>30</v>
      </c>
      <c r="C299" s="15">
        <v>200</v>
      </c>
      <c r="D299" s="16">
        <v>5</v>
      </c>
      <c r="E299" s="15">
        <v>250</v>
      </c>
      <c r="F299" s="26">
        <v>250</v>
      </c>
      <c r="G299" s="13">
        <f t="shared" si="4"/>
        <v>38</v>
      </c>
      <c r="H299" s="15">
        <v>16</v>
      </c>
      <c r="I299" s="15">
        <v>8.6999999999999994E-2</v>
      </c>
      <c r="J299" s="15">
        <v>30</v>
      </c>
      <c r="K299" s="15">
        <v>0.13500000000000001</v>
      </c>
      <c r="L299" s="10" t="s">
        <v>10</v>
      </c>
      <c r="M299" s="10" t="s">
        <v>14</v>
      </c>
    </row>
    <row r="300" spans="1:17" ht="15.6" x14ac:dyDescent="0.3">
      <c r="A300" s="1">
        <v>311</v>
      </c>
      <c r="B300" s="15">
        <v>30</v>
      </c>
      <c r="C300" s="15">
        <v>200</v>
      </c>
      <c r="D300" s="16">
        <v>5</v>
      </c>
      <c r="E300" s="15">
        <v>250</v>
      </c>
      <c r="F300" s="26">
        <v>250</v>
      </c>
      <c r="G300" s="13">
        <f t="shared" si="4"/>
        <v>38</v>
      </c>
      <c r="H300" s="15">
        <v>16</v>
      </c>
      <c r="I300" s="15">
        <v>1.2E-2</v>
      </c>
      <c r="J300" s="15">
        <v>30</v>
      </c>
      <c r="K300" s="15">
        <v>0.13100000000000001</v>
      </c>
      <c r="L300" s="10" t="s">
        <v>10</v>
      </c>
      <c r="M300" s="10" t="s">
        <v>14</v>
      </c>
    </row>
    <row r="301" spans="1:17" ht="15.6" x14ac:dyDescent="0.3">
      <c r="A301" s="1">
        <v>312</v>
      </c>
      <c r="B301" s="15">
        <v>30</v>
      </c>
      <c r="C301" s="15">
        <v>140</v>
      </c>
      <c r="D301" s="16">
        <v>5</v>
      </c>
      <c r="E301" s="15">
        <v>250</v>
      </c>
      <c r="F301" s="26">
        <v>250</v>
      </c>
      <c r="G301" s="13">
        <f t="shared" si="4"/>
        <v>38</v>
      </c>
      <c r="H301" s="15">
        <v>16</v>
      </c>
      <c r="I301" s="15">
        <v>8.6999999999999994E-2</v>
      </c>
      <c r="J301" s="15">
        <v>30</v>
      </c>
      <c r="K301" s="15">
        <v>8.4500000000000006E-2</v>
      </c>
      <c r="L301" s="10" t="s">
        <v>10</v>
      </c>
      <c r="M301" s="10" t="s">
        <v>14</v>
      </c>
    </row>
    <row r="302" spans="1:17" ht="15.6" x14ac:dyDescent="0.3">
      <c r="A302" s="1">
        <v>313</v>
      </c>
      <c r="B302" s="15">
        <v>30</v>
      </c>
      <c r="C302" s="15">
        <v>140</v>
      </c>
      <c r="D302" s="16">
        <v>2</v>
      </c>
      <c r="E302" s="15">
        <v>250</v>
      </c>
      <c r="F302" s="26">
        <v>250</v>
      </c>
      <c r="G302" s="13">
        <f t="shared" si="4"/>
        <v>95</v>
      </c>
      <c r="H302" s="15">
        <v>25</v>
      </c>
      <c r="I302" s="15">
        <v>8.5800000000000001E-2</v>
      </c>
      <c r="J302" s="15">
        <v>30</v>
      </c>
      <c r="K302" s="15">
        <v>0.218</v>
      </c>
      <c r="L302" s="10" t="s">
        <v>10</v>
      </c>
      <c r="M302" s="10" t="s">
        <v>14</v>
      </c>
    </row>
    <row r="303" spans="1:17" x14ac:dyDescent="0.3">
      <c r="A303" s="1">
        <v>314</v>
      </c>
      <c r="B303" s="15">
        <v>40</v>
      </c>
      <c r="C303" s="15">
        <v>134</v>
      </c>
      <c r="D303" s="16">
        <v>4</v>
      </c>
      <c r="E303" s="15">
        <v>600</v>
      </c>
      <c r="F303" s="10">
        <v>400</v>
      </c>
      <c r="G303" s="13">
        <f t="shared" si="4"/>
        <v>125</v>
      </c>
      <c r="H303" s="15">
        <v>14</v>
      </c>
      <c r="I303" s="15">
        <v>6.2E-2</v>
      </c>
      <c r="J303" s="15">
        <v>50</v>
      </c>
      <c r="K303" s="15">
        <v>0.08</v>
      </c>
      <c r="L303" s="10" t="s">
        <v>10</v>
      </c>
      <c r="M303" s="10" t="s">
        <v>15</v>
      </c>
      <c r="Q303" s="3" t="s">
        <v>25</v>
      </c>
    </row>
    <row r="304" spans="1:17" x14ac:dyDescent="0.3">
      <c r="A304" s="1">
        <v>315</v>
      </c>
      <c r="B304" s="15">
        <v>40</v>
      </c>
      <c r="C304" s="15">
        <v>161</v>
      </c>
      <c r="D304" s="16">
        <v>4</v>
      </c>
      <c r="E304" s="15">
        <v>600</v>
      </c>
      <c r="F304" s="10">
        <v>400</v>
      </c>
      <c r="G304" s="13">
        <f t="shared" si="4"/>
        <v>125</v>
      </c>
      <c r="H304" s="15">
        <v>14</v>
      </c>
      <c r="I304" s="15">
        <v>6.2E-2</v>
      </c>
      <c r="J304" s="15">
        <v>50</v>
      </c>
      <c r="K304" s="15">
        <v>0.11</v>
      </c>
      <c r="L304" s="10" t="s">
        <v>10</v>
      </c>
      <c r="M304" s="10" t="s">
        <v>15</v>
      </c>
    </row>
    <row r="305" spans="1:13" x14ac:dyDescent="0.3">
      <c r="A305" s="1">
        <v>316</v>
      </c>
      <c r="B305" s="15">
        <v>40</v>
      </c>
      <c r="C305" s="15">
        <v>200</v>
      </c>
      <c r="D305" s="16">
        <v>4</v>
      </c>
      <c r="E305" s="15">
        <v>600</v>
      </c>
      <c r="F305" s="10">
        <v>400</v>
      </c>
      <c r="G305" s="13">
        <f t="shared" si="4"/>
        <v>125</v>
      </c>
      <c r="H305" s="15">
        <v>14</v>
      </c>
      <c r="I305" s="15">
        <v>6.2E-2</v>
      </c>
      <c r="J305" s="15">
        <v>50</v>
      </c>
      <c r="K305" s="15">
        <v>0.19</v>
      </c>
      <c r="L305" s="10" t="s">
        <v>10</v>
      </c>
      <c r="M305" s="10" t="s">
        <v>15</v>
      </c>
    </row>
    <row r="306" spans="1:13" x14ac:dyDescent="0.3">
      <c r="A306" s="1">
        <v>317</v>
      </c>
      <c r="B306" s="15">
        <v>40</v>
      </c>
      <c r="C306" s="15">
        <v>250</v>
      </c>
      <c r="D306" s="16">
        <v>4</v>
      </c>
      <c r="E306" s="15">
        <v>600</v>
      </c>
      <c r="F306" s="10">
        <v>400</v>
      </c>
      <c r="G306" s="13">
        <f t="shared" si="4"/>
        <v>125</v>
      </c>
      <c r="H306" s="15">
        <v>14</v>
      </c>
      <c r="I306" s="15">
        <v>6.2E-2</v>
      </c>
      <c r="J306" s="15">
        <v>50</v>
      </c>
      <c r="K306" s="15">
        <v>0.31</v>
      </c>
      <c r="L306" s="10" t="s">
        <v>10</v>
      </c>
      <c r="M306" s="10" t="s">
        <v>15</v>
      </c>
    </row>
    <row r="307" spans="1:13" x14ac:dyDescent="0.3">
      <c r="A307" s="1">
        <v>318</v>
      </c>
      <c r="B307" s="15">
        <v>40</v>
      </c>
      <c r="C307" s="15">
        <v>154</v>
      </c>
      <c r="D307" s="16">
        <v>6</v>
      </c>
      <c r="E307" s="15">
        <v>600</v>
      </c>
      <c r="F307" s="10">
        <v>400</v>
      </c>
      <c r="G307" s="13">
        <f t="shared" si="4"/>
        <v>83.333333333333329</v>
      </c>
      <c r="H307" s="15">
        <v>20</v>
      </c>
      <c r="I307" s="15">
        <v>9.4E-2</v>
      </c>
      <c r="J307" s="15">
        <v>50</v>
      </c>
      <c r="K307" s="15">
        <v>0.09</v>
      </c>
      <c r="L307" s="10" t="s">
        <v>10</v>
      </c>
      <c r="M307" s="10" t="s">
        <v>15</v>
      </c>
    </row>
    <row r="308" spans="1:13" x14ac:dyDescent="0.3">
      <c r="A308" s="1">
        <v>319</v>
      </c>
      <c r="B308" s="15">
        <v>40</v>
      </c>
      <c r="C308" s="15">
        <v>184</v>
      </c>
      <c r="D308" s="16">
        <v>6</v>
      </c>
      <c r="E308" s="15">
        <v>600</v>
      </c>
      <c r="F308" s="10">
        <v>400</v>
      </c>
      <c r="G308" s="13">
        <f t="shared" si="4"/>
        <v>83.333333333333329</v>
      </c>
      <c r="H308" s="15">
        <v>20</v>
      </c>
      <c r="I308" s="15">
        <v>9.4E-2</v>
      </c>
      <c r="J308" s="15">
        <v>50</v>
      </c>
      <c r="K308" s="15">
        <v>0.15</v>
      </c>
      <c r="L308" s="10" t="s">
        <v>10</v>
      </c>
      <c r="M308" s="10" t="s">
        <v>15</v>
      </c>
    </row>
    <row r="309" spans="1:13" x14ac:dyDescent="0.3">
      <c r="A309" s="1">
        <v>320</v>
      </c>
      <c r="B309" s="15">
        <v>40</v>
      </c>
      <c r="C309" s="15">
        <v>230</v>
      </c>
      <c r="D309" s="16">
        <v>6</v>
      </c>
      <c r="E309" s="15">
        <v>600</v>
      </c>
      <c r="F309" s="10">
        <v>400</v>
      </c>
      <c r="G309" s="13">
        <f t="shared" si="4"/>
        <v>83.333333333333329</v>
      </c>
      <c r="H309" s="15">
        <v>20</v>
      </c>
      <c r="I309" s="15">
        <v>9.4E-2</v>
      </c>
      <c r="J309" s="15">
        <v>50</v>
      </c>
      <c r="K309" s="15">
        <v>0.22</v>
      </c>
      <c r="L309" s="10" t="s">
        <v>10</v>
      </c>
      <c r="M309" s="10" t="s">
        <v>15</v>
      </c>
    </row>
    <row r="310" spans="1:13" x14ac:dyDescent="0.3">
      <c r="A310" s="1">
        <v>321</v>
      </c>
      <c r="B310" s="15">
        <v>40</v>
      </c>
      <c r="C310" s="15">
        <v>288</v>
      </c>
      <c r="D310" s="16">
        <v>6</v>
      </c>
      <c r="E310" s="15">
        <v>600</v>
      </c>
      <c r="F310" s="10">
        <v>400</v>
      </c>
      <c r="G310" s="13">
        <f t="shared" ref="G310:G373" si="5">(E310-2*J310)/D310</f>
        <v>83.333333333333329</v>
      </c>
      <c r="H310" s="15">
        <v>20</v>
      </c>
      <c r="I310" s="15">
        <v>9.4E-2</v>
      </c>
      <c r="J310" s="15">
        <v>50</v>
      </c>
      <c r="K310" s="15">
        <v>0.27</v>
      </c>
      <c r="L310" s="10" t="s">
        <v>10</v>
      </c>
      <c r="M310" s="10" t="s">
        <v>15</v>
      </c>
    </row>
    <row r="311" spans="1:13" x14ac:dyDescent="0.3">
      <c r="A311" s="1">
        <v>322</v>
      </c>
      <c r="B311" s="15">
        <v>40</v>
      </c>
      <c r="C311" s="15">
        <v>151</v>
      </c>
      <c r="D311" s="16">
        <v>9</v>
      </c>
      <c r="E311" s="15">
        <v>600</v>
      </c>
      <c r="F311" s="10">
        <v>400</v>
      </c>
      <c r="G311" s="13">
        <f t="shared" si="5"/>
        <v>55.555555555555557</v>
      </c>
      <c r="H311" s="15">
        <v>20</v>
      </c>
      <c r="I311" s="15">
        <v>1.4E-2</v>
      </c>
      <c r="J311" s="15">
        <v>50</v>
      </c>
      <c r="K311" s="15">
        <v>0.14000000000000001</v>
      </c>
      <c r="L311" s="10" t="s">
        <v>10</v>
      </c>
      <c r="M311" s="10" t="s">
        <v>15</v>
      </c>
    </row>
    <row r="312" spans="1:13" x14ac:dyDescent="0.3">
      <c r="A312" s="1">
        <v>323</v>
      </c>
      <c r="B312" s="15">
        <v>40</v>
      </c>
      <c r="C312" s="15">
        <v>182</v>
      </c>
      <c r="D312" s="16">
        <v>9</v>
      </c>
      <c r="E312" s="15">
        <v>600</v>
      </c>
      <c r="F312" s="10">
        <v>400</v>
      </c>
      <c r="G312" s="13">
        <f t="shared" si="5"/>
        <v>55.555555555555557</v>
      </c>
      <c r="H312" s="15">
        <v>20</v>
      </c>
      <c r="I312" s="15">
        <v>1.4E-2</v>
      </c>
      <c r="J312" s="15">
        <v>50</v>
      </c>
      <c r="K312" s="15">
        <v>0.18</v>
      </c>
      <c r="L312" s="10" t="s">
        <v>10</v>
      </c>
      <c r="M312" s="10" t="s">
        <v>15</v>
      </c>
    </row>
    <row r="313" spans="1:13" x14ac:dyDescent="0.3">
      <c r="A313" s="1">
        <v>324</v>
      </c>
      <c r="B313" s="15">
        <v>40</v>
      </c>
      <c r="C313" s="15">
        <v>227</v>
      </c>
      <c r="D313" s="16">
        <v>9</v>
      </c>
      <c r="E313" s="15">
        <v>600</v>
      </c>
      <c r="F313" s="10">
        <v>400</v>
      </c>
      <c r="G313" s="13">
        <f t="shared" si="5"/>
        <v>55.555555555555557</v>
      </c>
      <c r="H313" s="15">
        <v>20</v>
      </c>
      <c r="I313" s="15">
        <v>1.4E-2</v>
      </c>
      <c r="J313" s="15">
        <v>50</v>
      </c>
      <c r="K313" s="15">
        <v>0.26</v>
      </c>
      <c r="L313" s="10" t="s">
        <v>10</v>
      </c>
      <c r="M313" s="10" t="s">
        <v>15</v>
      </c>
    </row>
    <row r="314" spans="1:13" x14ac:dyDescent="0.3">
      <c r="A314" s="1">
        <v>325</v>
      </c>
      <c r="B314" s="15">
        <v>40</v>
      </c>
      <c r="C314" s="15">
        <v>284</v>
      </c>
      <c r="D314" s="16">
        <v>9</v>
      </c>
      <c r="E314" s="15">
        <v>600</v>
      </c>
      <c r="F314" s="10">
        <v>400</v>
      </c>
      <c r="G314" s="13">
        <f t="shared" si="5"/>
        <v>55.555555555555557</v>
      </c>
      <c r="H314" s="15">
        <v>20</v>
      </c>
      <c r="I314" s="15">
        <v>1.4E-2</v>
      </c>
      <c r="J314" s="15">
        <v>50</v>
      </c>
      <c r="K314" s="15">
        <v>0.34</v>
      </c>
      <c r="L314" s="10" t="s">
        <v>10</v>
      </c>
      <c r="M314" s="10" t="s">
        <v>15</v>
      </c>
    </row>
    <row r="315" spans="1:13" x14ac:dyDescent="0.3">
      <c r="A315" s="1">
        <v>326</v>
      </c>
      <c r="B315" s="15">
        <v>40</v>
      </c>
      <c r="C315" s="15">
        <v>134</v>
      </c>
      <c r="D315" s="16">
        <v>4</v>
      </c>
      <c r="E315" s="15">
        <v>600</v>
      </c>
      <c r="F315" s="10">
        <v>400</v>
      </c>
      <c r="G315" s="13">
        <f t="shared" si="5"/>
        <v>125</v>
      </c>
      <c r="H315" s="15">
        <v>14</v>
      </c>
      <c r="I315" s="15">
        <v>6.2E-2</v>
      </c>
      <c r="J315" s="15">
        <v>50</v>
      </c>
      <c r="K315" s="15">
        <v>0.12</v>
      </c>
      <c r="L315" s="10" t="s">
        <v>10</v>
      </c>
      <c r="M315" s="10" t="s">
        <v>16</v>
      </c>
    </row>
    <row r="316" spans="1:13" x14ac:dyDescent="0.3">
      <c r="A316" s="1">
        <v>327</v>
      </c>
      <c r="B316" s="15">
        <v>40</v>
      </c>
      <c r="C316" s="15">
        <v>161</v>
      </c>
      <c r="D316" s="16">
        <v>4</v>
      </c>
      <c r="E316" s="15">
        <v>600</v>
      </c>
      <c r="F316" s="10">
        <v>400</v>
      </c>
      <c r="G316" s="13">
        <f t="shared" si="5"/>
        <v>125</v>
      </c>
      <c r="H316" s="15">
        <v>14</v>
      </c>
      <c r="I316" s="15">
        <v>6.2E-2</v>
      </c>
      <c r="J316" s="15">
        <v>50</v>
      </c>
      <c r="K316" s="15">
        <v>0.15</v>
      </c>
      <c r="L316" s="10" t="s">
        <v>10</v>
      </c>
      <c r="M316" s="10" t="s">
        <v>16</v>
      </c>
    </row>
    <row r="317" spans="1:13" x14ac:dyDescent="0.3">
      <c r="A317" s="1">
        <v>328</v>
      </c>
      <c r="B317" s="15">
        <v>40</v>
      </c>
      <c r="C317" s="15">
        <v>200</v>
      </c>
      <c r="D317" s="16">
        <v>4</v>
      </c>
      <c r="E317" s="15">
        <v>600</v>
      </c>
      <c r="F317" s="10">
        <v>400</v>
      </c>
      <c r="G317" s="13">
        <f t="shared" si="5"/>
        <v>125</v>
      </c>
      <c r="H317" s="15">
        <v>14</v>
      </c>
      <c r="I317" s="15">
        <v>6.2E-2</v>
      </c>
      <c r="J317" s="15">
        <v>50</v>
      </c>
      <c r="K317" s="15">
        <v>0.2</v>
      </c>
      <c r="L317" s="10" t="s">
        <v>10</v>
      </c>
      <c r="M317" s="10" t="s">
        <v>16</v>
      </c>
    </row>
    <row r="318" spans="1:13" x14ac:dyDescent="0.3">
      <c r="A318" s="1">
        <v>329</v>
      </c>
      <c r="B318" s="15">
        <v>40</v>
      </c>
      <c r="C318" s="15">
        <v>250</v>
      </c>
      <c r="D318" s="16">
        <v>4</v>
      </c>
      <c r="E318" s="15">
        <v>600</v>
      </c>
      <c r="F318" s="10">
        <v>400</v>
      </c>
      <c r="G318" s="13">
        <f t="shared" si="5"/>
        <v>125</v>
      </c>
      <c r="H318" s="15">
        <v>14</v>
      </c>
      <c r="I318" s="15">
        <v>6.2E-2</v>
      </c>
      <c r="J318" s="15">
        <v>50</v>
      </c>
      <c r="K318" s="15">
        <v>0.26</v>
      </c>
      <c r="L318" s="10" t="s">
        <v>10</v>
      </c>
      <c r="M318" s="10" t="s">
        <v>16</v>
      </c>
    </row>
    <row r="319" spans="1:13" x14ac:dyDescent="0.3">
      <c r="A319" s="1">
        <v>330</v>
      </c>
      <c r="B319" s="15">
        <v>40</v>
      </c>
      <c r="C319" s="15">
        <v>154</v>
      </c>
      <c r="D319" s="16">
        <v>6</v>
      </c>
      <c r="E319" s="15">
        <v>600</v>
      </c>
      <c r="F319" s="10">
        <v>400</v>
      </c>
      <c r="G319" s="13">
        <f t="shared" si="5"/>
        <v>83.333333333333329</v>
      </c>
      <c r="H319" s="15">
        <v>20</v>
      </c>
      <c r="I319" s="15">
        <v>9.4E-2</v>
      </c>
      <c r="J319" s="15">
        <v>50</v>
      </c>
      <c r="K319" s="15">
        <v>0.15</v>
      </c>
      <c r="L319" s="10" t="s">
        <v>10</v>
      </c>
      <c r="M319" s="10" t="s">
        <v>16</v>
      </c>
    </row>
    <row r="320" spans="1:13" x14ac:dyDescent="0.3">
      <c r="A320" s="1">
        <v>331</v>
      </c>
      <c r="B320" s="15">
        <v>40</v>
      </c>
      <c r="C320" s="15">
        <v>184</v>
      </c>
      <c r="D320" s="16">
        <v>6</v>
      </c>
      <c r="E320" s="15">
        <v>600</v>
      </c>
      <c r="F320" s="10">
        <v>400</v>
      </c>
      <c r="G320" s="13">
        <f t="shared" si="5"/>
        <v>83.333333333333329</v>
      </c>
      <c r="H320" s="15">
        <v>20</v>
      </c>
      <c r="I320" s="15">
        <v>9.4E-2</v>
      </c>
      <c r="J320" s="15">
        <v>50</v>
      </c>
      <c r="K320" s="15">
        <v>0.19</v>
      </c>
      <c r="L320" s="10" t="s">
        <v>10</v>
      </c>
      <c r="M320" s="10" t="s">
        <v>16</v>
      </c>
    </row>
    <row r="321" spans="1:13" x14ac:dyDescent="0.3">
      <c r="A321" s="1">
        <v>332</v>
      </c>
      <c r="B321" s="15">
        <v>40</v>
      </c>
      <c r="C321" s="15">
        <v>230</v>
      </c>
      <c r="D321" s="16">
        <v>6</v>
      </c>
      <c r="E321" s="15">
        <v>600</v>
      </c>
      <c r="F321" s="10">
        <v>400</v>
      </c>
      <c r="G321" s="13">
        <f t="shared" si="5"/>
        <v>83.333333333333329</v>
      </c>
      <c r="H321" s="15">
        <v>20</v>
      </c>
      <c r="I321" s="15">
        <v>9.4E-2</v>
      </c>
      <c r="J321" s="15">
        <v>50</v>
      </c>
      <c r="K321" s="15">
        <v>0.26</v>
      </c>
      <c r="L321" s="10" t="s">
        <v>10</v>
      </c>
      <c r="M321" s="10" t="s">
        <v>16</v>
      </c>
    </row>
    <row r="322" spans="1:13" x14ac:dyDescent="0.3">
      <c r="A322" s="1">
        <v>333</v>
      </c>
      <c r="B322" s="15">
        <v>40</v>
      </c>
      <c r="C322" s="15">
        <v>288</v>
      </c>
      <c r="D322" s="16">
        <v>6</v>
      </c>
      <c r="E322" s="15">
        <v>600</v>
      </c>
      <c r="F322" s="10">
        <v>400</v>
      </c>
      <c r="G322" s="13">
        <f t="shared" si="5"/>
        <v>83.333333333333329</v>
      </c>
      <c r="H322" s="15">
        <v>20</v>
      </c>
      <c r="I322" s="15">
        <v>9.4E-2</v>
      </c>
      <c r="J322" s="15">
        <v>50</v>
      </c>
      <c r="K322" s="15">
        <v>0.33</v>
      </c>
      <c r="L322" s="10" t="s">
        <v>10</v>
      </c>
      <c r="M322" s="10" t="s">
        <v>16</v>
      </c>
    </row>
    <row r="323" spans="1:13" x14ac:dyDescent="0.3">
      <c r="A323" s="1">
        <v>334</v>
      </c>
      <c r="B323" s="15">
        <v>40</v>
      </c>
      <c r="C323" s="15">
        <v>151</v>
      </c>
      <c r="D323" s="16">
        <v>9</v>
      </c>
      <c r="E323" s="15">
        <v>600</v>
      </c>
      <c r="F323" s="10">
        <v>400</v>
      </c>
      <c r="G323" s="13">
        <f t="shared" si="5"/>
        <v>55.555555555555557</v>
      </c>
      <c r="H323" s="15">
        <v>20</v>
      </c>
      <c r="I323" s="15">
        <v>1.4E-2</v>
      </c>
      <c r="J323" s="15">
        <v>50</v>
      </c>
      <c r="K323" s="15">
        <v>0.13</v>
      </c>
      <c r="L323" s="10" t="s">
        <v>10</v>
      </c>
      <c r="M323" s="10" t="s">
        <v>16</v>
      </c>
    </row>
    <row r="324" spans="1:13" x14ac:dyDescent="0.3">
      <c r="A324" s="1">
        <v>335</v>
      </c>
      <c r="B324" s="15">
        <v>40</v>
      </c>
      <c r="C324" s="15">
        <v>182</v>
      </c>
      <c r="D324" s="16">
        <v>9</v>
      </c>
      <c r="E324" s="15">
        <v>600</v>
      </c>
      <c r="F324" s="10">
        <v>400</v>
      </c>
      <c r="G324" s="13">
        <f t="shared" si="5"/>
        <v>55.555555555555557</v>
      </c>
      <c r="H324" s="15">
        <v>20</v>
      </c>
      <c r="I324" s="15">
        <v>1.4E-2</v>
      </c>
      <c r="J324" s="15">
        <v>50</v>
      </c>
      <c r="K324" s="15">
        <v>0.17</v>
      </c>
      <c r="L324" s="10" t="s">
        <v>10</v>
      </c>
      <c r="M324" s="10" t="s">
        <v>16</v>
      </c>
    </row>
    <row r="325" spans="1:13" x14ac:dyDescent="0.3">
      <c r="A325" s="1">
        <v>336</v>
      </c>
      <c r="B325" s="15">
        <v>40</v>
      </c>
      <c r="C325" s="15">
        <v>227</v>
      </c>
      <c r="D325" s="16">
        <v>9</v>
      </c>
      <c r="E325" s="15">
        <v>600</v>
      </c>
      <c r="F325" s="10">
        <v>400</v>
      </c>
      <c r="G325" s="13">
        <f t="shared" si="5"/>
        <v>55.555555555555557</v>
      </c>
      <c r="H325" s="15">
        <v>20</v>
      </c>
      <c r="I325" s="15">
        <v>1.4E-2</v>
      </c>
      <c r="J325" s="15">
        <v>50</v>
      </c>
      <c r="K325" s="15">
        <v>0.22</v>
      </c>
      <c r="L325" s="10" t="s">
        <v>10</v>
      </c>
      <c r="M325" s="10" t="s">
        <v>16</v>
      </c>
    </row>
    <row r="326" spans="1:13" x14ac:dyDescent="0.3">
      <c r="A326" s="1">
        <v>337</v>
      </c>
      <c r="B326" s="15">
        <v>40</v>
      </c>
      <c r="C326" s="15">
        <v>284</v>
      </c>
      <c r="D326" s="16">
        <v>9</v>
      </c>
      <c r="E326" s="15">
        <v>600</v>
      </c>
      <c r="F326" s="10">
        <v>400</v>
      </c>
      <c r="G326" s="13">
        <f t="shared" si="5"/>
        <v>55.555555555555557</v>
      </c>
      <c r="H326" s="15">
        <v>20</v>
      </c>
      <c r="I326" s="15">
        <v>1.4E-2</v>
      </c>
      <c r="J326" s="15">
        <v>50</v>
      </c>
      <c r="K326" s="15">
        <v>0.28999999999999998</v>
      </c>
      <c r="L326" s="10" t="s">
        <v>10</v>
      </c>
      <c r="M326" s="10" t="s">
        <v>16</v>
      </c>
    </row>
    <row r="327" spans="1:13" x14ac:dyDescent="0.3">
      <c r="A327" s="1">
        <v>338</v>
      </c>
      <c r="B327" s="15">
        <v>34</v>
      </c>
      <c r="C327" s="15">
        <v>425</v>
      </c>
      <c r="D327" s="16">
        <v>2</v>
      </c>
      <c r="E327" s="15">
        <v>180</v>
      </c>
      <c r="F327" s="10">
        <v>430</v>
      </c>
      <c r="G327" s="13">
        <f t="shared" si="5"/>
        <v>68</v>
      </c>
      <c r="H327" s="15">
        <v>12</v>
      </c>
      <c r="I327" s="15">
        <v>3.1E-2</v>
      </c>
      <c r="J327" s="15">
        <v>22</v>
      </c>
      <c r="K327" s="15">
        <v>0.19</v>
      </c>
      <c r="L327" s="10" t="s">
        <v>10</v>
      </c>
      <c r="M327" s="10" t="s">
        <v>16</v>
      </c>
    </row>
    <row r="328" spans="1:13" x14ac:dyDescent="0.3">
      <c r="A328" s="1">
        <v>339</v>
      </c>
      <c r="B328" s="15">
        <v>34</v>
      </c>
      <c r="C328" s="15">
        <v>425</v>
      </c>
      <c r="D328" s="16">
        <v>2</v>
      </c>
      <c r="E328" s="15">
        <v>180</v>
      </c>
      <c r="F328" s="10">
        <v>460</v>
      </c>
      <c r="G328" s="13">
        <f t="shared" si="5"/>
        <v>38</v>
      </c>
      <c r="H328" s="15">
        <v>12</v>
      </c>
      <c r="I328" s="15">
        <v>3.1E-2</v>
      </c>
      <c r="J328" s="15">
        <v>52</v>
      </c>
      <c r="K328" s="15">
        <v>0.23</v>
      </c>
      <c r="L328" s="10" t="s">
        <v>10</v>
      </c>
      <c r="M328" s="10" t="s">
        <v>16</v>
      </c>
    </row>
    <row r="329" spans="1:13" x14ac:dyDescent="0.3">
      <c r="A329" s="1">
        <v>340</v>
      </c>
      <c r="B329" s="15">
        <v>34</v>
      </c>
      <c r="C329" s="15">
        <v>425</v>
      </c>
      <c r="D329" s="16">
        <v>2</v>
      </c>
      <c r="E329" s="15">
        <v>180</v>
      </c>
      <c r="F329" s="10">
        <v>430</v>
      </c>
      <c r="G329" s="13">
        <f t="shared" si="5"/>
        <v>68</v>
      </c>
      <c r="H329" s="15">
        <v>16</v>
      </c>
      <c r="I329" s="15">
        <v>5.6000000000000001E-2</v>
      </c>
      <c r="J329" s="15">
        <v>22</v>
      </c>
      <c r="K329" s="15">
        <v>0.21</v>
      </c>
      <c r="L329" s="10" t="s">
        <v>10</v>
      </c>
      <c r="M329" s="10" t="s">
        <v>16</v>
      </c>
    </row>
    <row r="330" spans="1:13" x14ac:dyDescent="0.3">
      <c r="A330" s="1">
        <v>341</v>
      </c>
      <c r="B330" s="15">
        <v>34</v>
      </c>
      <c r="C330" s="15">
        <v>425</v>
      </c>
      <c r="D330" s="16">
        <v>2</v>
      </c>
      <c r="E330" s="15">
        <v>180</v>
      </c>
      <c r="F330" s="10">
        <v>460</v>
      </c>
      <c r="G330" s="13">
        <f t="shared" si="5"/>
        <v>38</v>
      </c>
      <c r="H330" s="15">
        <v>16</v>
      </c>
      <c r="I330" s="15">
        <v>5.6000000000000001E-2</v>
      </c>
      <c r="J330" s="15">
        <v>52</v>
      </c>
      <c r="K330" s="15">
        <v>0.25</v>
      </c>
      <c r="L330" s="10" t="s">
        <v>10</v>
      </c>
      <c r="M330" s="10" t="s">
        <v>16</v>
      </c>
    </row>
    <row r="331" spans="1:13" x14ac:dyDescent="0.3">
      <c r="A331" s="1">
        <v>342</v>
      </c>
      <c r="B331" s="15">
        <v>34</v>
      </c>
      <c r="C331" s="15">
        <v>425</v>
      </c>
      <c r="D331" s="16">
        <v>2</v>
      </c>
      <c r="E331" s="15">
        <v>180</v>
      </c>
      <c r="F331" s="10">
        <v>430</v>
      </c>
      <c r="G331" s="13">
        <f t="shared" si="5"/>
        <v>68</v>
      </c>
      <c r="H331" s="15">
        <v>20</v>
      </c>
      <c r="I331" s="15">
        <v>8.6999999999999994E-2</v>
      </c>
      <c r="J331" s="15">
        <v>22</v>
      </c>
      <c r="K331" s="15">
        <v>0.22</v>
      </c>
      <c r="L331" s="10" t="s">
        <v>10</v>
      </c>
      <c r="M331" s="10" t="s">
        <v>16</v>
      </c>
    </row>
    <row r="332" spans="1:13" x14ac:dyDescent="0.3">
      <c r="A332" s="1">
        <v>343</v>
      </c>
      <c r="B332" s="15">
        <v>34</v>
      </c>
      <c r="C332" s="15">
        <v>425</v>
      </c>
      <c r="D332" s="16">
        <v>2</v>
      </c>
      <c r="E332" s="15">
        <v>180</v>
      </c>
      <c r="F332" s="10">
        <v>460</v>
      </c>
      <c r="G332" s="13">
        <f t="shared" si="5"/>
        <v>38</v>
      </c>
      <c r="H332" s="15">
        <v>20</v>
      </c>
      <c r="I332" s="15">
        <v>8.6999999999999994E-2</v>
      </c>
      <c r="J332" s="15">
        <v>52</v>
      </c>
      <c r="K332" s="15">
        <v>0.27</v>
      </c>
      <c r="L332" s="10" t="s">
        <v>10</v>
      </c>
      <c r="M332" s="10" t="s">
        <v>16</v>
      </c>
    </row>
    <row r="333" spans="1:13" x14ac:dyDescent="0.3">
      <c r="A333" s="1">
        <v>344</v>
      </c>
      <c r="B333" s="15">
        <v>34</v>
      </c>
      <c r="C333" s="15">
        <v>425</v>
      </c>
      <c r="D333" s="16">
        <v>2</v>
      </c>
      <c r="E333" s="15">
        <v>180</v>
      </c>
      <c r="F333" s="10">
        <v>430</v>
      </c>
      <c r="G333" s="13">
        <f t="shared" si="5"/>
        <v>68</v>
      </c>
      <c r="H333" s="15">
        <v>25</v>
      </c>
      <c r="I333" s="15">
        <v>1.3599999999999999E-2</v>
      </c>
      <c r="J333" s="15">
        <v>22</v>
      </c>
      <c r="K333" s="15">
        <v>0.24</v>
      </c>
      <c r="L333" s="10" t="s">
        <v>10</v>
      </c>
      <c r="M333" s="10" t="s">
        <v>16</v>
      </c>
    </row>
    <row r="334" spans="1:13" x14ac:dyDescent="0.3">
      <c r="A334" s="1">
        <v>345</v>
      </c>
      <c r="B334" s="15">
        <v>34</v>
      </c>
      <c r="C334" s="15">
        <v>425</v>
      </c>
      <c r="D334" s="16">
        <v>2</v>
      </c>
      <c r="E334" s="15">
        <v>180</v>
      </c>
      <c r="F334" s="10">
        <v>460</v>
      </c>
      <c r="G334" s="13">
        <f t="shared" si="5"/>
        <v>38</v>
      </c>
      <c r="H334" s="15">
        <v>25</v>
      </c>
      <c r="I334" s="15">
        <v>1.3599999999999999E-2</v>
      </c>
      <c r="J334" s="15">
        <v>52</v>
      </c>
      <c r="K334" s="15">
        <v>0.28999999999999998</v>
      </c>
      <c r="L334" s="10" t="s">
        <v>10</v>
      </c>
      <c r="M334" s="10" t="s">
        <v>16</v>
      </c>
    </row>
    <row r="335" spans="1:13" s="6" customFormat="1" ht="15.6" x14ac:dyDescent="0.3">
      <c r="A335" s="1">
        <v>346</v>
      </c>
      <c r="B335" s="13">
        <v>31.44</v>
      </c>
      <c r="C335" s="13">
        <v>229.65</v>
      </c>
      <c r="D335" s="1">
        <v>1</v>
      </c>
      <c r="E335" s="13">
        <v>361.95</v>
      </c>
      <c r="F335" s="3">
        <v>88.9</v>
      </c>
      <c r="G335" s="13">
        <f t="shared" si="5"/>
        <v>174.49799999999999</v>
      </c>
      <c r="H335" s="13">
        <v>25.4</v>
      </c>
      <c r="I335" s="13">
        <v>1.7999999999999999E-2</v>
      </c>
      <c r="J335" s="13">
        <v>93.725999999999999</v>
      </c>
      <c r="K335" s="7">
        <v>7.6200000000000004E-2</v>
      </c>
      <c r="L335" s="10" t="s">
        <v>10</v>
      </c>
      <c r="M335" s="3" t="s">
        <v>17</v>
      </c>
    </row>
    <row r="336" spans="1:13" ht="15.6" x14ac:dyDescent="0.3">
      <c r="A336" s="1">
        <v>347</v>
      </c>
      <c r="B336" s="13">
        <v>31.44</v>
      </c>
      <c r="C336" s="13">
        <v>229.65</v>
      </c>
      <c r="D336" s="1">
        <v>1</v>
      </c>
      <c r="E336" s="13">
        <v>361.95</v>
      </c>
      <c r="F336" s="3">
        <v>88.9</v>
      </c>
      <c r="G336" s="13">
        <f t="shared" si="5"/>
        <v>236.47399999999999</v>
      </c>
      <c r="H336" s="13">
        <v>25.4</v>
      </c>
      <c r="I336" s="13">
        <v>1.7999999999999999E-2</v>
      </c>
      <c r="J336" s="13">
        <v>62.738</v>
      </c>
      <c r="K336" s="7">
        <v>0.1016</v>
      </c>
      <c r="L336" s="10" t="s">
        <v>10</v>
      </c>
      <c r="M336" s="3" t="s">
        <v>17</v>
      </c>
    </row>
    <row r="337" spans="1:13" ht="15.6" x14ac:dyDescent="0.3">
      <c r="A337" s="1">
        <v>348</v>
      </c>
      <c r="B337" s="13">
        <v>31.44</v>
      </c>
      <c r="C337" s="13">
        <v>229.65</v>
      </c>
      <c r="D337" s="1">
        <v>1</v>
      </c>
      <c r="E337" s="13">
        <v>361.95</v>
      </c>
      <c r="F337" s="3">
        <v>88.9</v>
      </c>
      <c r="G337" s="13">
        <f t="shared" si="5"/>
        <v>275.58999999999997</v>
      </c>
      <c r="H337" s="13">
        <v>25.4</v>
      </c>
      <c r="I337" s="13">
        <v>1.7999999999999999E-2</v>
      </c>
      <c r="J337" s="13">
        <v>43.18</v>
      </c>
      <c r="K337" s="7">
        <v>0.11429999999999998</v>
      </c>
      <c r="L337" s="10" t="s">
        <v>10</v>
      </c>
      <c r="M337" s="3" t="s">
        <v>17</v>
      </c>
    </row>
    <row r="338" spans="1:13" ht="15.6" x14ac:dyDescent="0.3">
      <c r="A338" s="1">
        <v>349</v>
      </c>
      <c r="B338" s="13">
        <v>31.44</v>
      </c>
      <c r="C338" s="13">
        <v>229.65</v>
      </c>
      <c r="D338" s="1">
        <v>1</v>
      </c>
      <c r="E338" s="13">
        <v>361.95</v>
      </c>
      <c r="F338" s="3">
        <v>88.9</v>
      </c>
      <c r="G338" s="13">
        <f t="shared" si="5"/>
        <v>252.73000000000002</v>
      </c>
      <c r="H338" s="13">
        <v>25.4</v>
      </c>
      <c r="I338" s="13">
        <v>1.7999999999999999E-2</v>
      </c>
      <c r="J338" s="13">
        <v>54.609999999999992</v>
      </c>
      <c r="K338" s="7">
        <v>0.15240000000000001</v>
      </c>
      <c r="L338" s="10" t="s">
        <v>10</v>
      </c>
      <c r="M338" s="3" t="s">
        <v>17</v>
      </c>
    </row>
    <row r="339" spans="1:13" ht="15.6" x14ac:dyDescent="0.3">
      <c r="A339" s="1">
        <v>350</v>
      </c>
      <c r="B339" s="13">
        <v>29.17</v>
      </c>
      <c r="C339" s="13">
        <v>229.65</v>
      </c>
      <c r="D339" s="1">
        <v>1</v>
      </c>
      <c r="E339" s="13">
        <v>361.95</v>
      </c>
      <c r="F339" s="3">
        <v>88.9</v>
      </c>
      <c r="G339" s="13">
        <f t="shared" si="5"/>
        <v>174.49799999999999</v>
      </c>
      <c r="H339" s="13">
        <v>25.4</v>
      </c>
      <c r="I339" s="13">
        <v>1.7999999999999999E-2</v>
      </c>
      <c r="J339" s="13">
        <v>93.725999999999999</v>
      </c>
      <c r="K339" s="7">
        <v>7.6200000000000004E-2</v>
      </c>
      <c r="L339" s="10" t="s">
        <v>10</v>
      </c>
      <c r="M339" s="3" t="s">
        <v>17</v>
      </c>
    </row>
    <row r="340" spans="1:13" ht="15.6" x14ac:dyDescent="0.3">
      <c r="A340" s="1">
        <v>351</v>
      </c>
      <c r="B340" s="13">
        <v>29.17</v>
      </c>
      <c r="C340" s="13">
        <v>229.65</v>
      </c>
      <c r="D340" s="1">
        <v>1</v>
      </c>
      <c r="E340" s="13">
        <v>361.95</v>
      </c>
      <c r="F340" s="3">
        <v>88.9</v>
      </c>
      <c r="G340" s="13">
        <f t="shared" si="5"/>
        <v>236.47399999999999</v>
      </c>
      <c r="H340" s="13">
        <v>25.4</v>
      </c>
      <c r="I340" s="13">
        <v>1.7999999999999999E-2</v>
      </c>
      <c r="J340" s="13">
        <v>62.738</v>
      </c>
      <c r="K340" s="7">
        <v>0.1016</v>
      </c>
      <c r="L340" s="10" t="s">
        <v>10</v>
      </c>
      <c r="M340" s="3" t="s">
        <v>17</v>
      </c>
    </row>
    <row r="341" spans="1:13" ht="15.6" x14ac:dyDescent="0.3">
      <c r="A341" s="1">
        <v>352</v>
      </c>
      <c r="B341" s="13">
        <v>29.17</v>
      </c>
      <c r="C341" s="13">
        <v>229.65</v>
      </c>
      <c r="D341" s="1">
        <v>1</v>
      </c>
      <c r="E341" s="13">
        <v>361.95</v>
      </c>
      <c r="F341" s="3">
        <v>88.9</v>
      </c>
      <c r="G341" s="13">
        <f t="shared" si="5"/>
        <v>272.03399999999999</v>
      </c>
      <c r="H341" s="13">
        <v>25.4</v>
      </c>
      <c r="I341" s="13">
        <v>1.7999999999999999E-2</v>
      </c>
      <c r="J341" s="13">
        <v>44.957999999999998</v>
      </c>
      <c r="K341" s="7">
        <v>0.1016</v>
      </c>
      <c r="L341" s="10" t="s">
        <v>10</v>
      </c>
      <c r="M341" s="3" t="s">
        <v>17</v>
      </c>
    </row>
    <row r="342" spans="1:13" ht="15.6" x14ac:dyDescent="0.3">
      <c r="A342" s="1">
        <v>353</v>
      </c>
      <c r="B342" s="13">
        <v>29.17</v>
      </c>
      <c r="C342" s="13">
        <v>229.65</v>
      </c>
      <c r="D342" s="1">
        <v>1</v>
      </c>
      <c r="E342" s="13">
        <v>361.95</v>
      </c>
      <c r="F342" s="3">
        <v>88.9</v>
      </c>
      <c r="G342" s="13">
        <f t="shared" si="5"/>
        <v>252.73000000000002</v>
      </c>
      <c r="H342" s="13">
        <v>25.4</v>
      </c>
      <c r="I342" s="13">
        <v>1.7999999999999999E-2</v>
      </c>
      <c r="J342" s="13">
        <v>54.609999999999992</v>
      </c>
      <c r="K342" s="7">
        <v>0.127</v>
      </c>
      <c r="L342" s="10" t="s">
        <v>10</v>
      </c>
      <c r="M342" s="3" t="s">
        <v>17</v>
      </c>
    </row>
    <row r="343" spans="1:13" ht="15.6" x14ac:dyDescent="0.3">
      <c r="A343" s="1">
        <v>354</v>
      </c>
      <c r="B343" s="13">
        <v>35.72</v>
      </c>
      <c r="C343" s="13">
        <v>229.65</v>
      </c>
      <c r="D343" s="1">
        <v>4</v>
      </c>
      <c r="E343" s="13">
        <v>361.95</v>
      </c>
      <c r="F343" s="3">
        <v>88.9</v>
      </c>
      <c r="G343" s="13">
        <f t="shared" si="5"/>
        <v>52.133499999999998</v>
      </c>
      <c r="H343" s="13">
        <v>12.7</v>
      </c>
      <c r="I343" s="13">
        <v>1.7999999999999999E-2</v>
      </c>
      <c r="J343" s="13">
        <v>76.707999999999998</v>
      </c>
      <c r="K343" s="7">
        <v>5.0799999999999998E-2</v>
      </c>
      <c r="L343" s="10" t="s">
        <v>10</v>
      </c>
      <c r="M343" s="3" t="s">
        <v>17</v>
      </c>
    </row>
    <row r="344" spans="1:13" ht="15.6" x14ac:dyDescent="0.3">
      <c r="A344" s="1">
        <v>355</v>
      </c>
      <c r="B344" s="13">
        <v>35.72</v>
      </c>
      <c r="C344" s="13">
        <v>229.65</v>
      </c>
      <c r="D344" s="1">
        <v>4</v>
      </c>
      <c r="E344" s="13">
        <v>361.95</v>
      </c>
      <c r="F344" s="3">
        <v>88.9</v>
      </c>
      <c r="G344" s="13">
        <f t="shared" si="5"/>
        <v>68.135499999999993</v>
      </c>
      <c r="H344" s="13">
        <v>12.7</v>
      </c>
      <c r="I344" s="13">
        <v>1.7999999999999999E-2</v>
      </c>
      <c r="J344" s="13">
        <v>44.704000000000001</v>
      </c>
      <c r="K344" s="7">
        <v>7.6200000000000004E-2</v>
      </c>
      <c r="L344" s="10" t="s">
        <v>10</v>
      </c>
      <c r="M344" s="3" t="s">
        <v>17</v>
      </c>
    </row>
    <row r="345" spans="1:13" ht="15.6" x14ac:dyDescent="0.3">
      <c r="A345" s="1">
        <v>356</v>
      </c>
      <c r="B345" s="13">
        <v>35.72</v>
      </c>
      <c r="C345" s="13">
        <v>229.65</v>
      </c>
      <c r="D345" s="1">
        <v>4</v>
      </c>
      <c r="E345" s="13">
        <v>361.95</v>
      </c>
      <c r="F345" s="3">
        <v>88.9</v>
      </c>
      <c r="G345" s="13">
        <f t="shared" si="5"/>
        <v>74.358499999999992</v>
      </c>
      <c r="H345" s="13">
        <v>12.7</v>
      </c>
      <c r="I345" s="13">
        <v>1.7999999999999999E-2</v>
      </c>
      <c r="J345" s="13">
        <v>32.257999999999996</v>
      </c>
      <c r="K345" s="7">
        <v>5.0799999999999998E-2</v>
      </c>
      <c r="L345" s="10" t="s">
        <v>10</v>
      </c>
      <c r="M345" s="3" t="s">
        <v>17</v>
      </c>
    </row>
    <row r="346" spans="1:13" ht="15.6" x14ac:dyDescent="0.3">
      <c r="A346" s="1">
        <v>357</v>
      </c>
      <c r="B346" s="13">
        <v>35.72</v>
      </c>
      <c r="C346" s="13">
        <v>229.65</v>
      </c>
      <c r="D346" s="1">
        <v>4</v>
      </c>
      <c r="E346" s="13">
        <v>361.95</v>
      </c>
      <c r="F346" s="3">
        <v>88.9</v>
      </c>
      <c r="G346" s="13">
        <f t="shared" si="5"/>
        <v>72.072499999999991</v>
      </c>
      <c r="H346" s="13">
        <v>12.7</v>
      </c>
      <c r="I346" s="13">
        <v>1.7999999999999999E-2</v>
      </c>
      <c r="J346" s="13">
        <v>36.83</v>
      </c>
      <c r="K346" s="7">
        <v>0.1016</v>
      </c>
      <c r="L346" s="10" t="s">
        <v>10</v>
      </c>
      <c r="M346" s="3" t="s">
        <v>17</v>
      </c>
    </row>
    <row r="347" spans="1:13" ht="15.6" x14ac:dyDescent="0.3">
      <c r="A347" s="1">
        <v>358</v>
      </c>
      <c r="B347" s="13">
        <v>35.72</v>
      </c>
      <c r="C347" s="13">
        <v>229.65</v>
      </c>
      <c r="D347" s="1">
        <v>1</v>
      </c>
      <c r="E347" s="13">
        <v>361.95</v>
      </c>
      <c r="F347" s="3">
        <v>88.9</v>
      </c>
      <c r="G347" s="13">
        <f t="shared" si="5"/>
        <v>185.67399999999998</v>
      </c>
      <c r="H347" s="13">
        <v>25.4</v>
      </c>
      <c r="I347" s="13">
        <v>1.7999999999999999E-2</v>
      </c>
      <c r="J347" s="13">
        <v>88.138000000000005</v>
      </c>
      <c r="K347" s="7">
        <v>5.0799999999999998E-2</v>
      </c>
      <c r="L347" s="10" t="s">
        <v>10</v>
      </c>
      <c r="M347" s="3" t="s">
        <v>17</v>
      </c>
    </row>
    <row r="348" spans="1:13" ht="15.6" x14ac:dyDescent="0.3">
      <c r="A348" s="1">
        <v>359</v>
      </c>
      <c r="B348" s="13">
        <v>35.72</v>
      </c>
      <c r="C348" s="13">
        <v>229.65</v>
      </c>
      <c r="D348" s="1">
        <v>1</v>
      </c>
      <c r="E348" s="13">
        <v>361.95</v>
      </c>
      <c r="F348" s="3">
        <v>88.9</v>
      </c>
      <c r="G348" s="13">
        <f t="shared" si="5"/>
        <v>244.60199999999998</v>
      </c>
      <c r="H348" s="13">
        <v>25.4</v>
      </c>
      <c r="I348" s="13">
        <v>1.7999999999999999E-2</v>
      </c>
      <c r="J348" s="13">
        <v>58.673999999999999</v>
      </c>
      <c r="K348" s="7">
        <v>7.6200000000000004E-2</v>
      </c>
      <c r="L348" s="10" t="s">
        <v>10</v>
      </c>
      <c r="M348" s="3" t="s">
        <v>17</v>
      </c>
    </row>
    <row r="349" spans="1:13" ht="15.6" x14ac:dyDescent="0.3">
      <c r="A349" s="1">
        <v>360</v>
      </c>
      <c r="B349" s="13">
        <v>35.72</v>
      </c>
      <c r="C349" s="13">
        <v>229.65</v>
      </c>
      <c r="D349" s="1">
        <v>1</v>
      </c>
      <c r="E349" s="13">
        <v>361.95</v>
      </c>
      <c r="F349" s="3">
        <v>88.9</v>
      </c>
      <c r="G349" s="13">
        <f t="shared" si="5"/>
        <v>273.05</v>
      </c>
      <c r="H349" s="13">
        <v>25.4</v>
      </c>
      <c r="I349" s="13">
        <v>1.7999999999999999E-2</v>
      </c>
      <c r="J349" s="13">
        <v>44.449999999999996</v>
      </c>
      <c r="K349" s="7">
        <v>7.6200000000000004E-2</v>
      </c>
      <c r="L349" s="10" t="s">
        <v>10</v>
      </c>
      <c r="M349" s="3" t="s">
        <v>17</v>
      </c>
    </row>
    <row r="350" spans="1:13" ht="15.6" x14ac:dyDescent="0.3">
      <c r="A350" s="1">
        <v>361</v>
      </c>
      <c r="B350" s="13">
        <v>35.72</v>
      </c>
      <c r="C350" s="13">
        <v>229.65</v>
      </c>
      <c r="D350" s="1">
        <v>1</v>
      </c>
      <c r="E350" s="13">
        <v>361.95</v>
      </c>
      <c r="F350" s="3">
        <v>88.9</v>
      </c>
      <c r="G350" s="13">
        <f t="shared" si="5"/>
        <v>244.60199999999998</v>
      </c>
      <c r="H350" s="13">
        <v>25.4</v>
      </c>
      <c r="I350" s="13">
        <v>1.7999999999999999E-2</v>
      </c>
      <c r="J350" s="13">
        <v>58.673999999999999</v>
      </c>
      <c r="K350" s="7">
        <v>0.127</v>
      </c>
      <c r="L350" s="10" t="s">
        <v>10</v>
      </c>
      <c r="M350" s="3" t="s">
        <v>17</v>
      </c>
    </row>
    <row r="351" spans="1:13" ht="15.6" x14ac:dyDescent="0.3">
      <c r="A351" s="1">
        <v>362</v>
      </c>
      <c r="B351" s="13">
        <v>35.72</v>
      </c>
      <c r="C351" s="13">
        <v>229.65</v>
      </c>
      <c r="D351" s="1">
        <v>1</v>
      </c>
      <c r="E351" s="13">
        <v>361.95</v>
      </c>
      <c r="F351" s="3">
        <v>88.9</v>
      </c>
      <c r="G351" s="13">
        <f t="shared" si="5"/>
        <v>185.67399999999998</v>
      </c>
      <c r="H351" s="13">
        <v>25.4</v>
      </c>
      <c r="I351" s="13">
        <v>1.7999999999999999E-2</v>
      </c>
      <c r="J351" s="13">
        <v>88.138000000000005</v>
      </c>
      <c r="K351" s="7">
        <v>0.17779999999999999</v>
      </c>
      <c r="L351" s="10" t="s">
        <v>10</v>
      </c>
      <c r="M351" s="3" t="s">
        <v>17</v>
      </c>
    </row>
    <row r="352" spans="1:13" ht="15.6" x14ac:dyDescent="0.3">
      <c r="A352" s="1">
        <v>363</v>
      </c>
      <c r="B352" s="13">
        <v>26.55</v>
      </c>
      <c r="C352" s="13">
        <v>229.65</v>
      </c>
      <c r="D352" s="1">
        <v>4</v>
      </c>
      <c r="E352" s="13">
        <v>361.95</v>
      </c>
      <c r="F352" s="3">
        <v>88.9</v>
      </c>
      <c r="G352" s="13">
        <f t="shared" si="5"/>
        <v>52.133499999999998</v>
      </c>
      <c r="H352" s="13">
        <v>12.7</v>
      </c>
      <c r="I352" s="13">
        <v>1.34E-2</v>
      </c>
      <c r="J352" s="13">
        <v>76.707999999999998</v>
      </c>
      <c r="K352" s="7">
        <v>7.6200000000000004E-2</v>
      </c>
      <c r="L352" s="10" t="s">
        <v>10</v>
      </c>
      <c r="M352" s="3" t="s">
        <v>17</v>
      </c>
    </row>
    <row r="353" spans="1:13" ht="15.6" x14ac:dyDescent="0.3">
      <c r="A353" s="1">
        <v>364</v>
      </c>
      <c r="B353" s="13">
        <v>26.55</v>
      </c>
      <c r="C353" s="13">
        <v>229.65</v>
      </c>
      <c r="D353" s="1">
        <v>4</v>
      </c>
      <c r="E353" s="13">
        <v>361.95</v>
      </c>
      <c r="F353" s="3">
        <v>88.9</v>
      </c>
      <c r="G353" s="13">
        <f t="shared" si="5"/>
        <v>54.927500000000002</v>
      </c>
      <c r="H353" s="13">
        <v>12.7</v>
      </c>
      <c r="I353" s="13">
        <v>1.34E-2</v>
      </c>
      <c r="J353" s="13">
        <v>71.11999999999999</v>
      </c>
      <c r="K353" s="7">
        <v>0.127</v>
      </c>
      <c r="L353" s="10" t="s">
        <v>10</v>
      </c>
      <c r="M353" s="3" t="s">
        <v>17</v>
      </c>
    </row>
    <row r="354" spans="1:13" ht="15.6" x14ac:dyDescent="0.3">
      <c r="A354" s="1">
        <v>365</v>
      </c>
      <c r="B354" s="13">
        <v>26.55</v>
      </c>
      <c r="C354" s="13">
        <v>229.65</v>
      </c>
      <c r="D354" s="1">
        <v>4</v>
      </c>
      <c r="E354" s="13">
        <v>361.95</v>
      </c>
      <c r="F354" s="3">
        <v>88.9</v>
      </c>
      <c r="G354" s="13">
        <f t="shared" si="5"/>
        <v>37.274499999999996</v>
      </c>
      <c r="H354" s="13">
        <v>12.7</v>
      </c>
      <c r="I354" s="13">
        <v>1.34E-2</v>
      </c>
      <c r="J354" s="13">
        <v>106.426</v>
      </c>
      <c r="K354" s="7">
        <v>0.20319999999999999</v>
      </c>
      <c r="L354" s="10" t="s">
        <v>10</v>
      </c>
      <c r="M354" s="3" t="s">
        <v>17</v>
      </c>
    </row>
    <row r="355" spans="1:13" ht="15.6" x14ac:dyDescent="0.3">
      <c r="A355" s="1">
        <v>366</v>
      </c>
      <c r="B355" s="13">
        <v>26.55</v>
      </c>
      <c r="C355" s="13">
        <v>229.65</v>
      </c>
      <c r="D355" s="1">
        <v>4</v>
      </c>
      <c r="E355" s="13">
        <v>361.95</v>
      </c>
      <c r="F355" s="3">
        <v>88.9</v>
      </c>
      <c r="G355" s="13">
        <f t="shared" si="5"/>
        <v>20.637500000000003</v>
      </c>
      <c r="H355" s="13">
        <v>12.7</v>
      </c>
      <c r="I355" s="13">
        <v>1.34E-2</v>
      </c>
      <c r="J355" s="13">
        <v>139.69999999999999</v>
      </c>
      <c r="K355" s="7">
        <v>0.20319999999999999</v>
      </c>
      <c r="L355" s="10" t="s">
        <v>10</v>
      </c>
      <c r="M355" s="3" t="s">
        <v>17</v>
      </c>
    </row>
    <row r="356" spans="1:13" ht="15.6" x14ac:dyDescent="0.3">
      <c r="A356" s="1">
        <v>367</v>
      </c>
      <c r="B356" s="13">
        <v>24.48</v>
      </c>
      <c r="C356" s="13">
        <v>229.65</v>
      </c>
      <c r="D356" s="1">
        <v>4</v>
      </c>
      <c r="E356" s="13">
        <v>361.95</v>
      </c>
      <c r="F356" s="3">
        <v>88.9</v>
      </c>
      <c r="G356" s="13">
        <f t="shared" si="5"/>
        <v>48.831500000000005</v>
      </c>
      <c r="H356" s="13">
        <v>12.7</v>
      </c>
      <c r="I356" s="13">
        <v>1.34E-2</v>
      </c>
      <c r="J356" s="13">
        <v>83.311999999999983</v>
      </c>
      <c r="K356" s="7">
        <v>0</v>
      </c>
      <c r="L356" s="10" t="s">
        <v>10</v>
      </c>
      <c r="M356" s="3" t="s">
        <v>17</v>
      </c>
    </row>
    <row r="357" spans="1:13" ht="15.6" x14ac:dyDescent="0.3">
      <c r="A357" s="1">
        <v>368</v>
      </c>
      <c r="B357" s="13">
        <v>24.48</v>
      </c>
      <c r="C357" s="13">
        <v>229.65</v>
      </c>
      <c r="D357" s="1">
        <v>4</v>
      </c>
      <c r="E357" s="13">
        <v>361.95</v>
      </c>
      <c r="F357" s="3">
        <v>88.9</v>
      </c>
      <c r="G357" s="13">
        <f t="shared" si="5"/>
        <v>64.833500000000001</v>
      </c>
      <c r="H357" s="13">
        <v>12.7</v>
      </c>
      <c r="I357" s="13">
        <v>1.34E-2</v>
      </c>
      <c r="J357" s="13">
        <v>51.308</v>
      </c>
      <c r="K357" s="7">
        <v>7.6200000000000004E-2</v>
      </c>
      <c r="L357" s="10" t="s">
        <v>10</v>
      </c>
      <c r="M357" s="3" t="s">
        <v>17</v>
      </c>
    </row>
    <row r="358" spans="1:13" ht="15.6" x14ac:dyDescent="0.3">
      <c r="A358" s="1">
        <v>369</v>
      </c>
      <c r="B358" s="13">
        <v>24.48</v>
      </c>
      <c r="C358" s="13">
        <v>229.65</v>
      </c>
      <c r="D358" s="1">
        <v>4</v>
      </c>
      <c r="E358" s="13">
        <v>361.95</v>
      </c>
      <c r="F358" s="3">
        <v>88.9</v>
      </c>
      <c r="G358" s="13">
        <f t="shared" si="5"/>
        <v>67.373499999999993</v>
      </c>
      <c r="H358" s="13">
        <v>12.7</v>
      </c>
      <c r="I358" s="13">
        <v>1.34E-2</v>
      </c>
      <c r="J358" s="13">
        <v>46.228000000000002</v>
      </c>
      <c r="K358" s="7">
        <v>7.6200000000000004E-2</v>
      </c>
      <c r="L358" s="10" t="s">
        <v>10</v>
      </c>
      <c r="M358" s="3" t="s">
        <v>17</v>
      </c>
    </row>
    <row r="359" spans="1:13" ht="15.6" x14ac:dyDescent="0.3">
      <c r="A359" s="1">
        <v>370</v>
      </c>
      <c r="B359" s="13">
        <v>24.48</v>
      </c>
      <c r="C359" s="13">
        <v>229.65</v>
      </c>
      <c r="D359" s="1">
        <v>4</v>
      </c>
      <c r="E359" s="13">
        <v>361.95</v>
      </c>
      <c r="F359" s="3">
        <v>88.9</v>
      </c>
      <c r="G359" s="13">
        <f t="shared" si="5"/>
        <v>65.087500000000006</v>
      </c>
      <c r="H359" s="13">
        <v>12.7</v>
      </c>
      <c r="I359" s="13">
        <v>1.34E-2</v>
      </c>
      <c r="J359" s="13">
        <v>50.8</v>
      </c>
      <c r="K359" s="7">
        <v>7.6200000000000004E-2</v>
      </c>
      <c r="L359" s="10" t="s">
        <v>10</v>
      </c>
      <c r="M359" s="3" t="s">
        <v>17</v>
      </c>
    </row>
    <row r="360" spans="1:13" ht="15.6" x14ac:dyDescent="0.3">
      <c r="A360" s="1">
        <v>371</v>
      </c>
      <c r="B360" s="13">
        <v>31.44</v>
      </c>
      <c r="C360" s="13">
        <v>344.82</v>
      </c>
      <c r="D360" s="1">
        <v>1</v>
      </c>
      <c r="E360" s="13">
        <v>361.95</v>
      </c>
      <c r="F360" s="3">
        <v>88.9</v>
      </c>
      <c r="G360" s="13">
        <f t="shared" si="5"/>
        <v>174.49799999999999</v>
      </c>
      <c r="H360" s="13">
        <v>25.4</v>
      </c>
      <c r="I360" s="13">
        <v>1.7999999999999999E-2</v>
      </c>
      <c r="J360" s="13">
        <v>93.725999999999999</v>
      </c>
      <c r="K360" s="7">
        <v>7.6200000000000004E-2</v>
      </c>
      <c r="L360" s="10" t="s">
        <v>10</v>
      </c>
      <c r="M360" s="3" t="s">
        <v>17</v>
      </c>
    </row>
    <row r="361" spans="1:13" ht="15.6" x14ac:dyDescent="0.3">
      <c r="A361" s="1">
        <v>372</v>
      </c>
      <c r="B361" s="13">
        <v>31.44</v>
      </c>
      <c r="C361" s="13">
        <v>344.82</v>
      </c>
      <c r="D361" s="1">
        <v>1</v>
      </c>
      <c r="E361" s="13">
        <v>361.95</v>
      </c>
      <c r="F361" s="3">
        <v>88.9</v>
      </c>
      <c r="G361" s="13">
        <f t="shared" si="5"/>
        <v>236.47399999999999</v>
      </c>
      <c r="H361" s="13">
        <v>25.4</v>
      </c>
      <c r="I361" s="13">
        <v>1.7999999999999999E-2</v>
      </c>
      <c r="J361" s="13">
        <v>62.738</v>
      </c>
      <c r="K361" s="7">
        <v>0.1016</v>
      </c>
      <c r="L361" s="10" t="s">
        <v>10</v>
      </c>
      <c r="M361" s="3" t="s">
        <v>17</v>
      </c>
    </row>
    <row r="362" spans="1:13" ht="15.6" x14ac:dyDescent="0.3">
      <c r="A362" s="1">
        <v>373</v>
      </c>
      <c r="B362" s="13">
        <v>31.44</v>
      </c>
      <c r="C362" s="13">
        <v>344.82</v>
      </c>
      <c r="D362" s="1">
        <v>1</v>
      </c>
      <c r="E362" s="13">
        <v>361.95</v>
      </c>
      <c r="F362" s="3">
        <v>88.9</v>
      </c>
      <c r="G362" s="13">
        <f t="shared" si="5"/>
        <v>275.58999999999997</v>
      </c>
      <c r="H362" s="13">
        <v>25.4</v>
      </c>
      <c r="I362" s="13">
        <v>1.7999999999999999E-2</v>
      </c>
      <c r="J362" s="13">
        <v>43.18</v>
      </c>
      <c r="K362" s="7">
        <v>0.127</v>
      </c>
      <c r="L362" s="10" t="s">
        <v>10</v>
      </c>
      <c r="M362" s="3" t="s">
        <v>17</v>
      </c>
    </row>
    <row r="363" spans="1:13" ht="15.6" x14ac:dyDescent="0.3">
      <c r="A363" s="1">
        <v>374</v>
      </c>
      <c r="B363" s="13">
        <v>31.44</v>
      </c>
      <c r="C363" s="13">
        <v>344.82</v>
      </c>
      <c r="D363" s="1">
        <v>1</v>
      </c>
      <c r="E363" s="13">
        <v>361.95</v>
      </c>
      <c r="F363" s="3">
        <v>88.9</v>
      </c>
      <c r="G363" s="13">
        <f t="shared" si="5"/>
        <v>252.73000000000002</v>
      </c>
      <c r="H363" s="13">
        <v>25.4</v>
      </c>
      <c r="I363" s="13">
        <v>1.7999999999999999E-2</v>
      </c>
      <c r="J363" s="13">
        <v>54.609999999999992</v>
      </c>
      <c r="K363" s="7">
        <v>0.17779999999999999</v>
      </c>
      <c r="L363" s="10" t="s">
        <v>10</v>
      </c>
      <c r="M363" s="3" t="s">
        <v>17</v>
      </c>
    </row>
    <row r="364" spans="1:13" ht="15.6" x14ac:dyDescent="0.3">
      <c r="A364" s="1">
        <v>375</v>
      </c>
      <c r="B364" s="13">
        <v>29.17</v>
      </c>
      <c r="C364" s="13">
        <v>344.82</v>
      </c>
      <c r="D364" s="1">
        <v>1</v>
      </c>
      <c r="E364" s="13">
        <v>361.95</v>
      </c>
      <c r="F364" s="3">
        <v>88.9</v>
      </c>
      <c r="G364" s="13">
        <f t="shared" si="5"/>
        <v>174.49799999999999</v>
      </c>
      <c r="H364" s="13">
        <v>25.4</v>
      </c>
      <c r="I364" s="13">
        <v>1.7999999999999999E-2</v>
      </c>
      <c r="J364" s="13">
        <v>93.725999999999999</v>
      </c>
      <c r="K364" s="7">
        <v>0.1016</v>
      </c>
      <c r="L364" s="10" t="s">
        <v>10</v>
      </c>
      <c r="M364" s="3" t="s">
        <v>17</v>
      </c>
    </row>
    <row r="365" spans="1:13" ht="15.6" x14ac:dyDescent="0.3">
      <c r="A365" s="1">
        <v>376</v>
      </c>
      <c r="B365" s="13">
        <v>29.17</v>
      </c>
      <c r="C365" s="13">
        <v>344.82</v>
      </c>
      <c r="D365" s="1">
        <v>1</v>
      </c>
      <c r="E365" s="13">
        <v>361.95</v>
      </c>
      <c r="F365" s="3">
        <v>88.9</v>
      </c>
      <c r="G365" s="13">
        <f t="shared" si="5"/>
        <v>236.47399999999999</v>
      </c>
      <c r="H365" s="13">
        <v>25.4</v>
      </c>
      <c r="I365" s="13">
        <v>1.7999999999999999E-2</v>
      </c>
      <c r="J365" s="13">
        <v>62.738</v>
      </c>
      <c r="K365" s="7">
        <v>0.127</v>
      </c>
      <c r="L365" s="10" t="s">
        <v>10</v>
      </c>
      <c r="M365" s="3" t="s">
        <v>17</v>
      </c>
    </row>
    <row r="366" spans="1:13" ht="15.6" x14ac:dyDescent="0.3">
      <c r="A366" s="1">
        <v>377</v>
      </c>
      <c r="B366" s="13">
        <v>29.17</v>
      </c>
      <c r="C366" s="13">
        <v>344.82</v>
      </c>
      <c r="D366" s="1">
        <v>1</v>
      </c>
      <c r="E366" s="13">
        <v>361.95</v>
      </c>
      <c r="F366" s="3">
        <v>88.9</v>
      </c>
      <c r="G366" s="13">
        <f t="shared" si="5"/>
        <v>272.03399999999999</v>
      </c>
      <c r="H366" s="13">
        <v>25.4</v>
      </c>
      <c r="I366" s="13">
        <v>1.7999999999999999E-2</v>
      </c>
      <c r="J366" s="13">
        <v>44.957999999999998</v>
      </c>
      <c r="K366" s="7">
        <v>0.127</v>
      </c>
      <c r="L366" s="10" t="s">
        <v>10</v>
      </c>
      <c r="M366" s="3" t="s">
        <v>17</v>
      </c>
    </row>
    <row r="367" spans="1:13" ht="15.6" x14ac:dyDescent="0.3">
      <c r="A367" s="1">
        <v>378</v>
      </c>
      <c r="B367" s="13">
        <v>29.17</v>
      </c>
      <c r="C367" s="13">
        <v>344.82</v>
      </c>
      <c r="D367" s="1">
        <v>1</v>
      </c>
      <c r="E367" s="13">
        <v>361.95</v>
      </c>
      <c r="F367" s="3">
        <v>88.9</v>
      </c>
      <c r="G367" s="13">
        <f t="shared" si="5"/>
        <v>252.73000000000002</v>
      </c>
      <c r="H367" s="13">
        <v>25.4</v>
      </c>
      <c r="I367" s="13">
        <v>1.7999999999999999E-2</v>
      </c>
      <c r="J367" s="13">
        <v>54.609999999999992</v>
      </c>
      <c r="K367" s="7">
        <v>0.17779999999999999</v>
      </c>
      <c r="L367" s="10" t="s">
        <v>10</v>
      </c>
      <c r="M367" s="3" t="s">
        <v>17</v>
      </c>
    </row>
    <row r="368" spans="1:13" ht="15.6" x14ac:dyDescent="0.3">
      <c r="A368" s="1">
        <v>379</v>
      </c>
      <c r="B368" s="13">
        <v>35.72</v>
      </c>
      <c r="C368" s="13">
        <v>344.82</v>
      </c>
      <c r="D368" s="1">
        <v>4</v>
      </c>
      <c r="E368" s="13">
        <v>361.95</v>
      </c>
      <c r="F368" s="3">
        <v>88.9</v>
      </c>
      <c r="G368" s="13">
        <f t="shared" si="5"/>
        <v>52.133499999999998</v>
      </c>
      <c r="H368" s="13">
        <v>12.7</v>
      </c>
      <c r="I368" s="13">
        <v>1.7999999999999999E-2</v>
      </c>
      <c r="J368" s="13">
        <v>76.707999999999998</v>
      </c>
      <c r="K368" s="7">
        <v>7.6200000000000004E-2</v>
      </c>
      <c r="L368" s="10" t="s">
        <v>10</v>
      </c>
      <c r="M368" s="3" t="s">
        <v>17</v>
      </c>
    </row>
    <row r="369" spans="1:13" ht="15.6" x14ac:dyDescent="0.3">
      <c r="A369" s="1">
        <v>380</v>
      </c>
      <c r="B369" s="13">
        <v>35.72</v>
      </c>
      <c r="C369" s="13">
        <v>344.82</v>
      </c>
      <c r="D369" s="1">
        <v>4</v>
      </c>
      <c r="E369" s="13">
        <v>361.95</v>
      </c>
      <c r="F369" s="3">
        <v>88.9</v>
      </c>
      <c r="G369" s="13">
        <f t="shared" si="5"/>
        <v>68.135499999999993</v>
      </c>
      <c r="H369" s="13">
        <v>12.7</v>
      </c>
      <c r="I369" s="13">
        <v>1.7999999999999999E-2</v>
      </c>
      <c r="J369" s="13">
        <v>44.704000000000001</v>
      </c>
      <c r="K369" s="7">
        <v>7.6200000000000004E-2</v>
      </c>
      <c r="L369" s="10" t="s">
        <v>10</v>
      </c>
      <c r="M369" s="3" t="s">
        <v>17</v>
      </c>
    </row>
    <row r="370" spans="1:13" ht="15.6" x14ac:dyDescent="0.3">
      <c r="A370" s="1">
        <v>381</v>
      </c>
      <c r="B370" s="13">
        <v>35.72</v>
      </c>
      <c r="C370" s="13">
        <v>344.82</v>
      </c>
      <c r="D370" s="1">
        <v>4</v>
      </c>
      <c r="E370" s="13">
        <v>361.95</v>
      </c>
      <c r="F370" s="3">
        <v>88.9</v>
      </c>
      <c r="G370" s="13">
        <f t="shared" si="5"/>
        <v>74.358499999999992</v>
      </c>
      <c r="H370" s="13">
        <v>12.7</v>
      </c>
      <c r="I370" s="13">
        <v>1.7999999999999999E-2</v>
      </c>
      <c r="J370" s="13">
        <v>32.257999999999996</v>
      </c>
      <c r="K370" s="7">
        <v>7.6200000000000004E-2</v>
      </c>
      <c r="L370" s="10" t="s">
        <v>10</v>
      </c>
      <c r="M370" s="3" t="s">
        <v>17</v>
      </c>
    </row>
    <row r="371" spans="1:13" ht="15.6" x14ac:dyDescent="0.3">
      <c r="A371" s="1">
        <v>382</v>
      </c>
      <c r="B371" s="13">
        <v>35.72</v>
      </c>
      <c r="C371" s="13">
        <v>344.82</v>
      </c>
      <c r="D371" s="1">
        <v>4</v>
      </c>
      <c r="E371" s="13">
        <v>361.95</v>
      </c>
      <c r="F371" s="3">
        <v>88.9</v>
      </c>
      <c r="G371" s="13">
        <f t="shared" si="5"/>
        <v>72.072499999999991</v>
      </c>
      <c r="H371" s="13">
        <v>12.7</v>
      </c>
      <c r="I371" s="13">
        <v>1.7999999999999999E-2</v>
      </c>
      <c r="J371" s="13">
        <v>36.83</v>
      </c>
      <c r="K371" s="7">
        <v>0.127</v>
      </c>
      <c r="L371" s="10" t="s">
        <v>10</v>
      </c>
      <c r="M371" s="3" t="s">
        <v>17</v>
      </c>
    </row>
    <row r="372" spans="1:13" ht="15.6" x14ac:dyDescent="0.3">
      <c r="A372" s="1">
        <v>383</v>
      </c>
      <c r="B372" s="13">
        <v>35.72</v>
      </c>
      <c r="C372" s="13">
        <v>344.82</v>
      </c>
      <c r="D372" s="1">
        <v>1</v>
      </c>
      <c r="E372" s="13">
        <v>361.95</v>
      </c>
      <c r="F372" s="3">
        <v>88.9</v>
      </c>
      <c r="G372" s="13">
        <f t="shared" si="5"/>
        <v>185.67399999999998</v>
      </c>
      <c r="H372" s="13">
        <v>25.4</v>
      </c>
      <c r="I372" s="13">
        <v>1.7999999999999999E-2</v>
      </c>
      <c r="J372" s="13">
        <v>88.138000000000005</v>
      </c>
      <c r="K372" s="7">
        <v>7.6200000000000004E-2</v>
      </c>
      <c r="L372" s="10" t="s">
        <v>10</v>
      </c>
      <c r="M372" s="3" t="s">
        <v>17</v>
      </c>
    </row>
    <row r="373" spans="1:13" ht="15.6" x14ac:dyDescent="0.3">
      <c r="A373" s="1">
        <v>384</v>
      </c>
      <c r="B373" s="13">
        <v>35.72</v>
      </c>
      <c r="C373" s="13">
        <v>344.82</v>
      </c>
      <c r="D373" s="1">
        <v>1</v>
      </c>
      <c r="E373" s="13">
        <v>361.95</v>
      </c>
      <c r="F373" s="3">
        <v>88.9</v>
      </c>
      <c r="G373" s="13">
        <f t="shared" si="5"/>
        <v>244.60199999999998</v>
      </c>
      <c r="H373" s="13">
        <v>25.4</v>
      </c>
      <c r="I373" s="13">
        <v>1.7999999999999999E-2</v>
      </c>
      <c r="J373" s="13">
        <v>58.673999999999999</v>
      </c>
      <c r="K373" s="7">
        <v>0.1016</v>
      </c>
      <c r="L373" s="10" t="s">
        <v>10</v>
      </c>
      <c r="M373" s="3" t="s">
        <v>17</v>
      </c>
    </row>
    <row r="374" spans="1:13" ht="15.6" x14ac:dyDescent="0.3">
      <c r="A374" s="1">
        <v>385</v>
      </c>
      <c r="B374" s="13">
        <v>35.72</v>
      </c>
      <c r="C374" s="13">
        <v>344.82</v>
      </c>
      <c r="D374" s="1">
        <v>1</v>
      </c>
      <c r="E374" s="13">
        <v>361.95</v>
      </c>
      <c r="F374" s="3">
        <v>88.9</v>
      </c>
      <c r="G374" s="13">
        <f t="shared" ref="G374:G437" si="6">(E374-2*J374)/D374</f>
        <v>273.05</v>
      </c>
      <c r="H374" s="13">
        <v>25.4</v>
      </c>
      <c r="I374" s="13">
        <v>1.7999999999999999E-2</v>
      </c>
      <c r="J374" s="13">
        <v>44.449999999999996</v>
      </c>
      <c r="K374" s="7">
        <v>0.15240000000000001</v>
      </c>
      <c r="L374" s="10" t="s">
        <v>10</v>
      </c>
      <c r="M374" s="3" t="s">
        <v>17</v>
      </c>
    </row>
    <row r="375" spans="1:13" ht="15.6" x14ac:dyDescent="0.3">
      <c r="A375" s="1">
        <v>386</v>
      </c>
      <c r="B375" s="13">
        <v>35.72</v>
      </c>
      <c r="C375" s="13">
        <v>344.82</v>
      </c>
      <c r="D375" s="1">
        <v>1</v>
      </c>
      <c r="E375" s="13">
        <v>361.95</v>
      </c>
      <c r="F375" s="3">
        <v>88.9</v>
      </c>
      <c r="G375" s="13">
        <f t="shared" si="6"/>
        <v>244.60199999999998</v>
      </c>
      <c r="H375" s="13">
        <v>25.4</v>
      </c>
      <c r="I375" s="13">
        <v>1.7999999999999999E-2</v>
      </c>
      <c r="J375" s="13">
        <v>58.673999999999999</v>
      </c>
      <c r="K375" s="7">
        <v>0.254</v>
      </c>
      <c r="L375" s="10" t="s">
        <v>10</v>
      </c>
      <c r="M375" s="3" t="s">
        <v>17</v>
      </c>
    </row>
    <row r="376" spans="1:13" ht="15.6" x14ac:dyDescent="0.3">
      <c r="A376" s="1">
        <v>387</v>
      </c>
      <c r="B376" s="13">
        <v>35.72</v>
      </c>
      <c r="C376" s="13">
        <v>344.82</v>
      </c>
      <c r="D376" s="1">
        <v>1</v>
      </c>
      <c r="E376" s="13">
        <v>361.95</v>
      </c>
      <c r="F376" s="3">
        <v>88.9</v>
      </c>
      <c r="G376" s="13">
        <f t="shared" si="6"/>
        <v>185.67399999999998</v>
      </c>
      <c r="H376" s="13">
        <v>25.4</v>
      </c>
      <c r="I376" s="13">
        <v>1.7999999999999999E-2</v>
      </c>
      <c r="J376" s="13">
        <v>88.138000000000005</v>
      </c>
      <c r="K376" s="7">
        <v>0.35559999999999997</v>
      </c>
      <c r="L376" s="10" t="s">
        <v>10</v>
      </c>
      <c r="M376" s="3" t="s">
        <v>17</v>
      </c>
    </row>
    <row r="377" spans="1:13" ht="15.6" x14ac:dyDescent="0.3">
      <c r="A377" s="1">
        <v>388</v>
      </c>
      <c r="B377" s="13">
        <v>26.55</v>
      </c>
      <c r="C377" s="13">
        <v>344.82</v>
      </c>
      <c r="D377" s="1">
        <v>4</v>
      </c>
      <c r="E377" s="13">
        <v>361.95</v>
      </c>
      <c r="F377" s="3">
        <v>88.9</v>
      </c>
      <c r="G377" s="13">
        <f t="shared" si="6"/>
        <v>52.133499999999998</v>
      </c>
      <c r="H377" s="13">
        <v>12.7</v>
      </c>
      <c r="I377" s="13">
        <v>1.2999999999999999E-2</v>
      </c>
      <c r="J377" s="13">
        <v>76.707999999999998</v>
      </c>
      <c r="K377" s="7">
        <v>7.6200000000000004E-2</v>
      </c>
      <c r="L377" s="10" t="s">
        <v>10</v>
      </c>
      <c r="M377" s="3" t="s">
        <v>17</v>
      </c>
    </row>
    <row r="378" spans="1:13" ht="15.6" x14ac:dyDescent="0.3">
      <c r="A378" s="1">
        <v>389</v>
      </c>
      <c r="B378" s="13">
        <v>26.55</v>
      </c>
      <c r="C378" s="13">
        <v>344.82</v>
      </c>
      <c r="D378" s="1">
        <v>4</v>
      </c>
      <c r="E378" s="13">
        <v>361.95</v>
      </c>
      <c r="F378" s="3">
        <v>88.9</v>
      </c>
      <c r="G378" s="13">
        <f t="shared" si="6"/>
        <v>54.927500000000002</v>
      </c>
      <c r="H378" s="13">
        <v>12.7</v>
      </c>
      <c r="I378" s="13">
        <v>1.2999999999999999E-2</v>
      </c>
      <c r="J378" s="13">
        <v>71.11999999999999</v>
      </c>
      <c r="K378" s="7">
        <v>0.17779999999999999</v>
      </c>
      <c r="L378" s="10" t="s">
        <v>10</v>
      </c>
      <c r="M378" s="3" t="s">
        <v>17</v>
      </c>
    </row>
    <row r="379" spans="1:13" ht="15.6" x14ac:dyDescent="0.3">
      <c r="A379" s="1">
        <v>390</v>
      </c>
      <c r="B379" s="13">
        <v>26.55</v>
      </c>
      <c r="C379" s="13">
        <v>344.82</v>
      </c>
      <c r="D379" s="1">
        <v>4</v>
      </c>
      <c r="E379" s="13">
        <v>361.95</v>
      </c>
      <c r="F379" s="3">
        <v>88.9</v>
      </c>
      <c r="G379" s="13">
        <f t="shared" si="6"/>
        <v>37.274499999999996</v>
      </c>
      <c r="H379" s="13">
        <v>12.7</v>
      </c>
      <c r="I379" s="13">
        <v>1.2999999999999999E-2</v>
      </c>
      <c r="J379" s="13">
        <v>106.426</v>
      </c>
      <c r="K379" s="7">
        <v>0.27939999999999998</v>
      </c>
      <c r="L379" s="10" t="s">
        <v>10</v>
      </c>
      <c r="M379" s="3" t="s">
        <v>17</v>
      </c>
    </row>
    <row r="380" spans="1:13" ht="15.6" x14ac:dyDescent="0.3">
      <c r="A380" s="1">
        <v>391</v>
      </c>
      <c r="B380" s="13">
        <v>26.55</v>
      </c>
      <c r="C380" s="13">
        <v>344.82</v>
      </c>
      <c r="D380" s="1">
        <v>4</v>
      </c>
      <c r="E380" s="13">
        <v>361.95</v>
      </c>
      <c r="F380" s="3">
        <v>88.9</v>
      </c>
      <c r="G380" s="13">
        <f t="shared" si="6"/>
        <v>20.637500000000003</v>
      </c>
      <c r="H380" s="13">
        <v>12.7</v>
      </c>
      <c r="I380" s="13">
        <v>1.2999999999999999E-2</v>
      </c>
      <c r="J380" s="13">
        <v>139.69999999999999</v>
      </c>
      <c r="K380" s="7">
        <v>0.33019999999999999</v>
      </c>
      <c r="L380" s="10" t="s">
        <v>10</v>
      </c>
      <c r="M380" s="3" t="s">
        <v>17</v>
      </c>
    </row>
    <row r="381" spans="1:13" ht="15.6" x14ac:dyDescent="0.3">
      <c r="A381" s="1">
        <v>392</v>
      </c>
      <c r="B381" s="13">
        <v>24.48</v>
      </c>
      <c r="C381" s="13">
        <v>344.82</v>
      </c>
      <c r="D381" s="1">
        <v>4</v>
      </c>
      <c r="E381" s="13">
        <v>361.95</v>
      </c>
      <c r="F381" s="3">
        <v>88.9</v>
      </c>
      <c r="G381" s="13">
        <f t="shared" si="6"/>
        <v>48.831500000000005</v>
      </c>
      <c r="H381" s="13">
        <v>12.7</v>
      </c>
      <c r="I381" s="13">
        <v>1.2999999999999999E-2</v>
      </c>
      <c r="J381" s="13">
        <v>83.311999999999983</v>
      </c>
      <c r="K381" s="7">
        <v>5.0799999999999998E-2</v>
      </c>
      <c r="L381" s="10" t="s">
        <v>10</v>
      </c>
      <c r="M381" s="3" t="s">
        <v>17</v>
      </c>
    </row>
    <row r="382" spans="1:13" ht="15.6" x14ac:dyDescent="0.3">
      <c r="A382" s="1">
        <v>393</v>
      </c>
      <c r="B382" s="13">
        <v>24.48</v>
      </c>
      <c r="C382" s="13">
        <v>344.82</v>
      </c>
      <c r="D382" s="1">
        <v>4</v>
      </c>
      <c r="E382" s="13">
        <v>361.95</v>
      </c>
      <c r="F382" s="3">
        <v>88.9</v>
      </c>
      <c r="G382" s="13">
        <f t="shared" si="6"/>
        <v>64.833500000000001</v>
      </c>
      <c r="H382" s="13">
        <v>12.7</v>
      </c>
      <c r="I382" s="13">
        <v>1.2999999999999999E-2</v>
      </c>
      <c r="J382" s="13">
        <v>51.308</v>
      </c>
      <c r="K382" s="7">
        <v>0.1016</v>
      </c>
      <c r="L382" s="10" t="s">
        <v>10</v>
      </c>
      <c r="M382" s="3" t="s">
        <v>17</v>
      </c>
    </row>
    <row r="383" spans="1:13" ht="15.6" x14ac:dyDescent="0.3">
      <c r="A383" s="1">
        <v>394</v>
      </c>
      <c r="B383" s="13">
        <v>24.48</v>
      </c>
      <c r="C383" s="13">
        <v>344.82</v>
      </c>
      <c r="D383" s="1">
        <v>4</v>
      </c>
      <c r="E383" s="13">
        <v>361.95</v>
      </c>
      <c r="F383" s="3">
        <v>88.9</v>
      </c>
      <c r="G383" s="13">
        <f t="shared" si="6"/>
        <v>67.373499999999993</v>
      </c>
      <c r="H383" s="13">
        <v>12.7</v>
      </c>
      <c r="I383" s="13">
        <v>1.2999999999999999E-2</v>
      </c>
      <c r="J383" s="13">
        <v>46.228000000000002</v>
      </c>
      <c r="K383" s="7">
        <v>0.1016</v>
      </c>
      <c r="L383" s="10" t="s">
        <v>10</v>
      </c>
      <c r="M383" s="3" t="s">
        <v>17</v>
      </c>
    </row>
    <row r="384" spans="1:13" ht="15.6" x14ac:dyDescent="0.3">
      <c r="A384" s="1">
        <v>395</v>
      </c>
      <c r="B384" s="13">
        <v>24.48</v>
      </c>
      <c r="C384" s="13">
        <v>344.82</v>
      </c>
      <c r="D384" s="1">
        <v>4</v>
      </c>
      <c r="E384" s="13">
        <v>361.95</v>
      </c>
      <c r="F384" s="3">
        <v>88.9</v>
      </c>
      <c r="G384" s="13">
        <f t="shared" si="6"/>
        <v>65.087500000000006</v>
      </c>
      <c r="H384" s="13">
        <v>12.7</v>
      </c>
      <c r="I384" s="13">
        <v>1.2999999999999999E-2</v>
      </c>
      <c r="J384" s="13">
        <v>50.8</v>
      </c>
      <c r="K384" s="7">
        <v>0.127</v>
      </c>
      <c r="L384" s="10" t="s">
        <v>10</v>
      </c>
      <c r="M384" s="3" t="s">
        <v>17</v>
      </c>
    </row>
    <row r="385" spans="1:13" ht="15.6" x14ac:dyDescent="0.3">
      <c r="A385" s="1">
        <v>396</v>
      </c>
      <c r="B385" s="13">
        <v>31.44</v>
      </c>
      <c r="C385" s="13">
        <v>459.31</v>
      </c>
      <c r="D385" s="1">
        <v>1</v>
      </c>
      <c r="E385" s="13">
        <v>361.95</v>
      </c>
      <c r="F385" s="3">
        <v>88.9</v>
      </c>
      <c r="G385" s="13">
        <f t="shared" si="6"/>
        <v>174.49799999999999</v>
      </c>
      <c r="H385" s="13">
        <v>25.4</v>
      </c>
      <c r="I385" s="13">
        <v>1.7999999999999999E-2</v>
      </c>
      <c r="J385" s="13">
        <v>93.725999999999999</v>
      </c>
      <c r="K385" s="7">
        <v>0.127</v>
      </c>
      <c r="L385" s="10" t="s">
        <v>10</v>
      </c>
      <c r="M385" s="3" t="s">
        <v>17</v>
      </c>
    </row>
    <row r="386" spans="1:13" ht="15.6" x14ac:dyDescent="0.3">
      <c r="A386" s="1">
        <v>397</v>
      </c>
      <c r="B386" s="13">
        <v>31.44</v>
      </c>
      <c r="C386" s="13">
        <v>459.31</v>
      </c>
      <c r="D386" s="1">
        <v>1</v>
      </c>
      <c r="E386" s="13">
        <v>361.95</v>
      </c>
      <c r="F386" s="3">
        <v>88.9</v>
      </c>
      <c r="G386" s="13">
        <f t="shared" si="6"/>
        <v>236.47399999999999</v>
      </c>
      <c r="H386" s="13">
        <v>25.4</v>
      </c>
      <c r="I386" s="13">
        <v>1.7999999999999999E-2</v>
      </c>
      <c r="J386" s="13">
        <v>62.738</v>
      </c>
      <c r="K386" s="7">
        <v>0.15240000000000001</v>
      </c>
      <c r="L386" s="10" t="s">
        <v>10</v>
      </c>
      <c r="M386" s="3" t="s">
        <v>17</v>
      </c>
    </row>
    <row r="387" spans="1:13" ht="15.6" x14ac:dyDescent="0.3">
      <c r="A387" s="1">
        <v>398</v>
      </c>
      <c r="B387" s="13">
        <v>31.44</v>
      </c>
      <c r="C387" s="13">
        <v>459.31</v>
      </c>
      <c r="D387" s="1">
        <v>1</v>
      </c>
      <c r="E387" s="13">
        <v>361.95</v>
      </c>
      <c r="F387" s="3">
        <v>88.9</v>
      </c>
      <c r="G387" s="13">
        <f t="shared" si="6"/>
        <v>275.58999999999997</v>
      </c>
      <c r="H387" s="13">
        <v>25.4</v>
      </c>
      <c r="I387" s="13">
        <v>1.7999999999999999E-2</v>
      </c>
      <c r="J387" s="13">
        <v>43.18</v>
      </c>
      <c r="K387" s="7">
        <v>0.15240000000000001</v>
      </c>
      <c r="L387" s="10" t="s">
        <v>10</v>
      </c>
      <c r="M387" s="3" t="s">
        <v>17</v>
      </c>
    </row>
    <row r="388" spans="1:13" ht="15.6" x14ac:dyDescent="0.3">
      <c r="A388" s="1">
        <v>399</v>
      </c>
      <c r="B388" s="13">
        <v>31.44</v>
      </c>
      <c r="C388" s="13">
        <v>459.31</v>
      </c>
      <c r="D388" s="1">
        <v>1</v>
      </c>
      <c r="E388" s="13">
        <v>361.95</v>
      </c>
      <c r="F388" s="3">
        <v>88.9</v>
      </c>
      <c r="G388" s="13">
        <f t="shared" si="6"/>
        <v>252.73000000000002</v>
      </c>
      <c r="H388" s="13">
        <v>25.4</v>
      </c>
      <c r="I388" s="13">
        <v>1.7999999999999999E-2</v>
      </c>
      <c r="J388" s="13">
        <v>54.609999999999992</v>
      </c>
      <c r="K388" s="7">
        <v>0.22859999999999997</v>
      </c>
      <c r="L388" s="10" t="s">
        <v>10</v>
      </c>
      <c r="M388" s="3" t="s">
        <v>17</v>
      </c>
    </row>
    <row r="389" spans="1:13" ht="15.6" x14ac:dyDescent="0.3">
      <c r="A389" s="1">
        <v>400</v>
      </c>
      <c r="B389" s="13">
        <v>29.17</v>
      </c>
      <c r="C389" s="13">
        <v>459.31</v>
      </c>
      <c r="D389" s="1">
        <v>1</v>
      </c>
      <c r="E389" s="13">
        <v>361.95</v>
      </c>
      <c r="F389" s="3">
        <v>88.9</v>
      </c>
      <c r="G389" s="13">
        <f t="shared" si="6"/>
        <v>174.49799999999999</v>
      </c>
      <c r="H389" s="13">
        <v>25.4</v>
      </c>
      <c r="I389" s="13">
        <v>1.7999999999999999E-2</v>
      </c>
      <c r="J389" s="13">
        <v>93.725999999999999</v>
      </c>
      <c r="K389" s="7">
        <v>0</v>
      </c>
      <c r="L389" s="10" t="s">
        <v>10</v>
      </c>
      <c r="M389" s="3" t="s">
        <v>17</v>
      </c>
    </row>
    <row r="390" spans="1:13" ht="15.6" x14ac:dyDescent="0.3">
      <c r="A390" s="1">
        <v>401</v>
      </c>
      <c r="B390" s="13">
        <v>29.17</v>
      </c>
      <c r="C390" s="13">
        <v>459.31</v>
      </c>
      <c r="D390" s="1">
        <v>1</v>
      </c>
      <c r="E390" s="13">
        <v>361.95</v>
      </c>
      <c r="F390" s="3">
        <v>88.9</v>
      </c>
      <c r="G390" s="13">
        <f t="shared" si="6"/>
        <v>236.47399999999999</v>
      </c>
      <c r="H390" s="13">
        <v>25.4</v>
      </c>
      <c r="I390" s="13">
        <v>1.7999999999999999E-2</v>
      </c>
      <c r="J390" s="13">
        <v>62.738</v>
      </c>
      <c r="K390" s="7">
        <v>0</v>
      </c>
      <c r="L390" s="10" t="s">
        <v>10</v>
      </c>
      <c r="M390" s="3" t="s">
        <v>17</v>
      </c>
    </row>
    <row r="391" spans="1:13" ht="15.6" x14ac:dyDescent="0.3">
      <c r="A391" s="1">
        <v>402</v>
      </c>
      <c r="B391" s="13">
        <v>29.17</v>
      </c>
      <c r="C391" s="13">
        <v>459.31</v>
      </c>
      <c r="D391" s="1">
        <v>1</v>
      </c>
      <c r="E391" s="13">
        <v>361.95</v>
      </c>
      <c r="F391" s="3">
        <v>88.9</v>
      </c>
      <c r="G391" s="13">
        <f t="shared" si="6"/>
        <v>272.03399999999999</v>
      </c>
      <c r="H391" s="13">
        <v>25.4</v>
      </c>
      <c r="I391" s="13">
        <v>1.7999999999999999E-2</v>
      </c>
      <c r="J391" s="13">
        <v>44.957999999999998</v>
      </c>
      <c r="K391" s="7">
        <v>0</v>
      </c>
      <c r="L391" s="10" t="s">
        <v>10</v>
      </c>
      <c r="M391" s="3" t="s">
        <v>17</v>
      </c>
    </row>
    <row r="392" spans="1:13" ht="15.6" x14ac:dyDescent="0.3">
      <c r="A392" s="1">
        <v>403</v>
      </c>
      <c r="B392" s="13">
        <v>29.17</v>
      </c>
      <c r="C392" s="13">
        <v>459.31</v>
      </c>
      <c r="D392" s="1">
        <v>1</v>
      </c>
      <c r="E392" s="13">
        <v>361.95</v>
      </c>
      <c r="F392" s="3">
        <v>88.9</v>
      </c>
      <c r="G392" s="13">
        <f t="shared" si="6"/>
        <v>252.73000000000002</v>
      </c>
      <c r="H392" s="13">
        <v>25.4</v>
      </c>
      <c r="I392" s="13">
        <v>1.7999999999999999E-2</v>
      </c>
      <c r="J392" s="13">
        <v>54.609999999999992</v>
      </c>
      <c r="K392" s="7">
        <v>0</v>
      </c>
      <c r="L392" s="10" t="s">
        <v>10</v>
      </c>
      <c r="M392" s="3" t="s">
        <v>17</v>
      </c>
    </row>
    <row r="393" spans="1:13" ht="15.6" x14ac:dyDescent="0.3">
      <c r="A393" s="1">
        <v>404</v>
      </c>
      <c r="B393" s="13">
        <v>35.72</v>
      </c>
      <c r="C393" s="13">
        <v>459.31</v>
      </c>
      <c r="D393" s="1">
        <v>4</v>
      </c>
      <c r="E393" s="13">
        <v>361.95</v>
      </c>
      <c r="F393" s="3">
        <v>88.9</v>
      </c>
      <c r="G393" s="13">
        <f t="shared" si="6"/>
        <v>52.133499999999998</v>
      </c>
      <c r="H393" s="13">
        <v>12.7</v>
      </c>
      <c r="I393" s="13">
        <v>1.7999999999999999E-2</v>
      </c>
      <c r="J393" s="13">
        <v>76.707999999999998</v>
      </c>
      <c r="K393" s="7">
        <v>0.1016</v>
      </c>
      <c r="L393" s="10" t="s">
        <v>10</v>
      </c>
      <c r="M393" s="3" t="s">
        <v>17</v>
      </c>
    </row>
    <row r="394" spans="1:13" ht="15.6" x14ac:dyDescent="0.3">
      <c r="A394" s="1">
        <v>405</v>
      </c>
      <c r="B394" s="13">
        <v>35.72</v>
      </c>
      <c r="C394" s="13">
        <v>459.31</v>
      </c>
      <c r="D394" s="1">
        <v>4</v>
      </c>
      <c r="E394" s="13">
        <v>361.95</v>
      </c>
      <c r="F394" s="3">
        <v>88.9</v>
      </c>
      <c r="G394" s="13">
        <f t="shared" si="6"/>
        <v>68.135499999999993</v>
      </c>
      <c r="H394" s="13">
        <v>12.7</v>
      </c>
      <c r="I394" s="13">
        <v>1.7999999999999999E-2</v>
      </c>
      <c r="J394" s="13">
        <v>44.704000000000001</v>
      </c>
      <c r="K394" s="7">
        <v>8.8899999999999993E-2</v>
      </c>
      <c r="L394" s="10" t="s">
        <v>10</v>
      </c>
      <c r="M394" s="3" t="s">
        <v>17</v>
      </c>
    </row>
    <row r="395" spans="1:13" ht="15.6" x14ac:dyDescent="0.3">
      <c r="A395" s="1">
        <v>406</v>
      </c>
      <c r="B395" s="13">
        <v>35.72</v>
      </c>
      <c r="C395" s="13">
        <v>459.31</v>
      </c>
      <c r="D395" s="1">
        <v>4</v>
      </c>
      <c r="E395" s="13">
        <v>361.95</v>
      </c>
      <c r="F395" s="3">
        <v>88.9</v>
      </c>
      <c r="G395" s="13">
        <f t="shared" si="6"/>
        <v>74.358499999999992</v>
      </c>
      <c r="H395" s="13">
        <v>12.7</v>
      </c>
      <c r="I395" s="13">
        <v>1.7999999999999999E-2</v>
      </c>
      <c r="J395" s="13">
        <v>32.257999999999996</v>
      </c>
      <c r="K395" s="7">
        <v>0.1016</v>
      </c>
      <c r="L395" s="10" t="s">
        <v>10</v>
      </c>
      <c r="M395" s="3" t="s">
        <v>17</v>
      </c>
    </row>
    <row r="396" spans="1:13" ht="15.6" x14ac:dyDescent="0.3">
      <c r="A396" s="1">
        <v>407</v>
      </c>
      <c r="B396" s="13">
        <v>35.72</v>
      </c>
      <c r="C396" s="13">
        <v>459.31</v>
      </c>
      <c r="D396" s="1">
        <v>4</v>
      </c>
      <c r="E396" s="13">
        <v>361.95</v>
      </c>
      <c r="F396" s="3">
        <v>88.9</v>
      </c>
      <c r="G396" s="13">
        <f t="shared" si="6"/>
        <v>72.072499999999991</v>
      </c>
      <c r="H396" s="13">
        <v>12.7</v>
      </c>
      <c r="I396" s="13">
        <v>1.7999999999999999E-2</v>
      </c>
      <c r="J396" s="13">
        <v>36.83</v>
      </c>
      <c r="K396" s="7">
        <v>0.17779999999999999</v>
      </c>
      <c r="L396" s="10" t="s">
        <v>10</v>
      </c>
      <c r="M396" s="3" t="s">
        <v>17</v>
      </c>
    </row>
    <row r="397" spans="1:13" ht="15.6" x14ac:dyDescent="0.3">
      <c r="A397" s="1">
        <v>408</v>
      </c>
      <c r="B397" s="13">
        <v>35.72</v>
      </c>
      <c r="C397" s="13">
        <v>459.31</v>
      </c>
      <c r="D397" s="1">
        <v>1</v>
      </c>
      <c r="E397" s="13">
        <v>361.95</v>
      </c>
      <c r="F397" s="3">
        <v>88.9</v>
      </c>
      <c r="G397" s="13">
        <f t="shared" si="6"/>
        <v>185.67399999999998</v>
      </c>
      <c r="H397" s="13">
        <v>25.4</v>
      </c>
      <c r="I397" s="13">
        <v>1.7999999999999999E-2</v>
      </c>
      <c r="J397" s="13">
        <v>88.138000000000005</v>
      </c>
      <c r="K397" s="7">
        <v>0.1016</v>
      </c>
      <c r="L397" s="10" t="s">
        <v>10</v>
      </c>
      <c r="M397" s="3" t="s">
        <v>17</v>
      </c>
    </row>
    <row r="398" spans="1:13" ht="15.6" x14ac:dyDescent="0.3">
      <c r="A398" s="1">
        <v>409</v>
      </c>
      <c r="B398" s="13">
        <v>35.72</v>
      </c>
      <c r="C398" s="13">
        <v>459.31</v>
      </c>
      <c r="D398" s="1">
        <v>1</v>
      </c>
      <c r="E398" s="13">
        <v>361.95</v>
      </c>
      <c r="F398" s="3">
        <v>88.9</v>
      </c>
      <c r="G398" s="13">
        <f t="shared" si="6"/>
        <v>244.60199999999998</v>
      </c>
      <c r="H398" s="13">
        <v>25.4</v>
      </c>
      <c r="I398" s="13">
        <v>1.7999999999999999E-2</v>
      </c>
      <c r="J398" s="13">
        <v>58.673999999999999</v>
      </c>
      <c r="K398" s="7">
        <v>0.15240000000000001</v>
      </c>
      <c r="L398" s="10" t="s">
        <v>10</v>
      </c>
      <c r="M398" s="3" t="s">
        <v>17</v>
      </c>
    </row>
    <row r="399" spans="1:13" ht="15.6" x14ac:dyDescent="0.3">
      <c r="A399" s="1">
        <v>410</v>
      </c>
      <c r="B399" s="13">
        <v>35.72</v>
      </c>
      <c r="C399" s="13">
        <v>459.31</v>
      </c>
      <c r="D399" s="1">
        <v>1</v>
      </c>
      <c r="E399" s="13">
        <v>361.95</v>
      </c>
      <c r="F399" s="3">
        <v>88.9</v>
      </c>
      <c r="G399" s="13">
        <f t="shared" si="6"/>
        <v>273.05</v>
      </c>
      <c r="H399" s="13">
        <v>25.4</v>
      </c>
      <c r="I399" s="13">
        <v>1.7999999999999999E-2</v>
      </c>
      <c r="J399" s="13">
        <v>44.449999999999996</v>
      </c>
      <c r="K399" s="7">
        <v>0.17779999999999999</v>
      </c>
      <c r="L399" s="10" t="s">
        <v>10</v>
      </c>
      <c r="M399" s="3" t="s">
        <v>17</v>
      </c>
    </row>
    <row r="400" spans="1:13" ht="15.6" x14ac:dyDescent="0.3">
      <c r="A400" s="1">
        <v>411</v>
      </c>
      <c r="B400" s="13">
        <v>35.72</v>
      </c>
      <c r="C400" s="13">
        <v>459.31</v>
      </c>
      <c r="D400" s="1">
        <v>1</v>
      </c>
      <c r="E400" s="13">
        <v>361.95</v>
      </c>
      <c r="F400" s="3">
        <v>88.9</v>
      </c>
      <c r="G400" s="13">
        <f t="shared" si="6"/>
        <v>244.60199999999998</v>
      </c>
      <c r="H400" s="13">
        <v>25.4</v>
      </c>
      <c r="I400" s="13">
        <v>1.7999999999999999E-2</v>
      </c>
      <c r="J400" s="13">
        <v>58.673999999999999</v>
      </c>
      <c r="K400" s="7">
        <v>0.30480000000000002</v>
      </c>
      <c r="L400" s="10" t="s">
        <v>10</v>
      </c>
      <c r="M400" s="3" t="s">
        <v>17</v>
      </c>
    </row>
    <row r="401" spans="1:15" ht="15.6" x14ac:dyDescent="0.3">
      <c r="A401" s="1">
        <v>412</v>
      </c>
      <c r="B401" s="13">
        <v>35.72</v>
      </c>
      <c r="C401" s="13">
        <v>459.31</v>
      </c>
      <c r="D401" s="1">
        <v>1</v>
      </c>
      <c r="E401" s="13">
        <v>361.95</v>
      </c>
      <c r="F401" s="3">
        <v>88.9</v>
      </c>
      <c r="G401" s="13">
        <f t="shared" si="6"/>
        <v>185.67399999999998</v>
      </c>
      <c r="H401" s="13">
        <v>25.4</v>
      </c>
      <c r="I401" s="13">
        <v>1.7999999999999999E-2</v>
      </c>
      <c r="J401" s="13">
        <v>88.138000000000005</v>
      </c>
      <c r="K401" s="7">
        <v>0.53339999999999999</v>
      </c>
      <c r="L401" s="10" t="s">
        <v>10</v>
      </c>
      <c r="M401" s="3" t="s">
        <v>17</v>
      </c>
    </row>
    <row r="402" spans="1:15" ht="15.6" x14ac:dyDescent="0.3">
      <c r="A402" s="1">
        <v>413</v>
      </c>
      <c r="B402" s="13">
        <v>26.55</v>
      </c>
      <c r="C402" s="13">
        <v>459.31</v>
      </c>
      <c r="D402" s="1">
        <v>4</v>
      </c>
      <c r="E402" s="13">
        <v>361.95</v>
      </c>
      <c r="F402" s="3">
        <v>88.9</v>
      </c>
      <c r="G402" s="13">
        <f t="shared" si="6"/>
        <v>52.133499999999998</v>
      </c>
      <c r="H402" s="13">
        <v>12.7</v>
      </c>
      <c r="I402" s="13">
        <v>1.2999999999999999E-2</v>
      </c>
      <c r="J402" s="13">
        <v>76.707999999999998</v>
      </c>
      <c r="K402" s="7">
        <v>0.1016</v>
      </c>
      <c r="L402" s="10" t="s">
        <v>10</v>
      </c>
      <c r="M402" s="3" t="s">
        <v>17</v>
      </c>
    </row>
    <row r="403" spans="1:15" ht="15.6" x14ac:dyDescent="0.3">
      <c r="A403" s="1">
        <v>414</v>
      </c>
      <c r="B403" s="13">
        <v>26.55</v>
      </c>
      <c r="C403" s="13">
        <v>459.31</v>
      </c>
      <c r="D403" s="1">
        <v>4</v>
      </c>
      <c r="E403" s="13">
        <v>361.95</v>
      </c>
      <c r="F403" s="3">
        <v>88.9</v>
      </c>
      <c r="G403" s="13">
        <f t="shared" si="6"/>
        <v>54.927500000000002</v>
      </c>
      <c r="H403" s="13">
        <v>12.7</v>
      </c>
      <c r="I403" s="13">
        <v>1.2999999999999999E-2</v>
      </c>
      <c r="J403" s="13">
        <v>71.11999999999999</v>
      </c>
      <c r="K403" s="7">
        <v>0.30480000000000002</v>
      </c>
      <c r="L403" s="10" t="s">
        <v>10</v>
      </c>
      <c r="M403" s="3" t="s">
        <v>17</v>
      </c>
    </row>
    <row r="404" spans="1:15" ht="15.6" x14ac:dyDescent="0.3">
      <c r="A404" s="1">
        <v>415</v>
      </c>
      <c r="B404" s="13">
        <v>26.55</v>
      </c>
      <c r="C404" s="13">
        <v>459.31</v>
      </c>
      <c r="D404" s="1">
        <v>4</v>
      </c>
      <c r="E404" s="13">
        <v>361.95</v>
      </c>
      <c r="F404" s="3">
        <v>88.9</v>
      </c>
      <c r="G404" s="13">
        <f t="shared" si="6"/>
        <v>37.274499999999996</v>
      </c>
      <c r="H404" s="13">
        <v>12.7</v>
      </c>
      <c r="I404" s="13">
        <v>1.2999999999999999E-2</v>
      </c>
      <c r="J404" s="13">
        <v>106.426</v>
      </c>
      <c r="K404" s="7">
        <v>0.45719999999999994</v>
      </c>
      <c r="L404" s="10" t="s">
        <v>10</v>
      </c>
      <c r="M404" s="3" t="s">
        <v>17</v>
      </c>
    </row>
    <row r="405" spans="1:15" ht="15.6" x14ac:dyDescent="0.3">
      <c r="A405" s="1">
        <v>416</v>
      </c>
      <c r="B405" s="13">
        <v>26.55</v>
      </c>
      <c r="C405" s="13">
        <v>459.31</v>
      </c>
      <c r="D405" s="1">
        <v>4</v>
      </c>
      <c r="E405" s="13">
        <v>361.95</v>
      </c>
      <c r="F405" s="3">
        <v>88.9</v>
      </c>
      <c r="G405" s="13">
        <f t="shared" si="6"/>
        <v>20.637500000000003</v>
      </c>
      <c r="H405" s="13">
        <v>12.7</v>
      </c>
      <c r="I405" s="13">
        <v>1.2999999999999999E-2</v>
      </c>
      <c r="J405" s="13">
        <v>139.69999999999999</v>
      </c>
      <c r="K405" s="7">
        <v>0.60960000000000003</v>
      </c>
      <c r="L405" s="10" t="s">
        <v>10</v>
      </c>
      <c r="M405" s="3" t="s">
        <v>17</v>
      </c>
    </row>
    <row r="406" spans="1:15" ht="15.6" x14ac:dyDescent="0.3">
      <c r="A406" s="1">
        <v>417</v>
      </c>
      <c r="B406" s="13">
        <v>24.48</v>
      </c>
      <c r="C406" s="13">
        <v>459.31</v>
      </c>
      <c r="D406" s="1">
        <v>4</v>
      </c>
      <c r="E406" s="13">
        <v>361.95</v>
      </c>
      <c r="F406" s="3">
        <v>88.9</v>
      </c>
      <c r="G406" s="13">
        <f t="shared" si="6"/>
        <v>48.831500000000005</v>
      </c>
      <c r="H406" s="13">
        <v>12.7</v>
      </c>
      <c r="I406" s="13">
        <v>1.2999999999999999E-2</v>
      </c>
      <c r="J406" s="13">
        <v>83.311999999999983</v>
      </c>
      <c r="K406" s="7">
        <v>0.1016</v>
      </c>
      <c r="L406" s="10" t="s">
        <v>10</v>
      </c>
      <c r="M406" s="3" t="s">
        <v>17</v>
      </c>
    </row>
    <row r="407" spans="1:15" ht="15.6" x14ac:dyDescent="0.3">
      <c r="A407" s="1">
        <v>418</v>
      </c>
      <c r="B407" s="13">
        <v>24.48</v>
      </c>
      <c r="C407" s="13">
        <v>459.31</v>
      </c>
      <c r="D407" s="1">
        <v>4</v>
      </c>
      <c r="E407" s="13">
        <v>361.95</v>
      </c>
      <c r="F407" s="3">
        <v>88.9</v>
      </c>
      <c r="G407" s="13">
        <f t="shared" si="6"/>
        <v>64.833500000000001</v>
      </c>
      <c r="H407" s="13">
        <v>12.7</v>
      </c>
      <c r="I407" s="13">
        <v>1.2999999999999999E-2</v>
      </c>
      <c r="J407" s="13">
        <v>51.308</v>
      </c>
      <c r="K407" s="7">
        <v>0.15240000000000001</v>
      </c>
      <c r="L407" s="10" t="s">
        <v>10</v>
      </c>
      <c r="M407" s="3" t="s">
        <v>17</v>
      </c>
    </row>
    <row r="408" spans="1:15" ht="15.6" x14ac:dyDescent="0.3">
      <c r="A408" s="1">
        <v>419</v>
      </c>
      <c r="B408" s="13">
        <v>24.48</v>
      </c>
      <c r="C408" s="13">
        <v>459.31</v>
      </c>
      <c r="D408" s="1">
        <v>4</v>
      </c>
      <c r="E408" s="13">
        <v>361.95</v>
      </c>
      <c r="F408" s="3">
        <v>88.9</v>
      </c>
      <c r="G408" s="13">
        <f t="shared" si="6"/>
        <v>67.373499999999993</v>
      </c>
      <c r="H408" s="13">
        <v>12.7</v>
      </c>
      <c r="I408" s="13">
        <v>1.2999999999999999E-2</v>
      </c>
      <c r="J408" s="13">
        <v>46.228000000000002</v>
      </c>
      <c r="K408" s="7">
        <v>0.15240000000000001</v>
      </c>
      <c r="L408" s="10" t="s">
        <v>10</v>
      </c>
      <c r="M408" s="3" t="s">
        <v>17</v>
      </c>
    </row>
    <row r="409" spans="1:15" s="6" customFormat="1" ht="15.6" x14ac:dyDescent="0.3">
      <c r="A409" s="1">
        <v>420</v>
      </c>
      <c r="B409" s="13">
        <v>24.48</v>
      </c>
      <c r="C409" s="13">
        <v>459.31</v>
      </c>
      <c r="D409" s="1">
        <v>4</v>
      </c>
      <c r="E409" s="13">
        <v>361.95</v>
      </c>
      <c r="F409" s="3">
        <v>88.9</v>
      </c>
      <c r="G409" s="13">
        <f t="shared" si="6"/>
        <v>65.087500000000006</v>
      </c>
      <c r="H409" s="13">
        <v>12.7</v>
      </c>
      <c r="I409" s="13">
        <v>1.2999999999999999E-2</v>
      </c>
      <c r="J409" s="13">
        <v>50.8</v>
      </c>
      <c r="K409" s="7">
        <v>0.20319999999999999</v>
      </c>
      <c r="L409" s="10" t="s">
        <v>10</v>
      </c>
      <c r="M409" s="3" t="s">
        <v>17</v>
      </c>
    </row>
    <row r="410" spans="1:15" s="12" customFormat="1" x14ac:dyDescent="0.3">
      <c r="A410" s="1">
        <v>421</v>
      </c>
      <c r="B410" s="13">
        <v>36.689655172413794</v>
      </c>
      <c r="C410" s="13">
        <v>150</v>
      </c>
      <c r="D410" s="1">
        <v>2</v>
      </c>
      <c r="E410" s="13">
        <v>203.2</v>
      </c>
      <c r="F410" s="3">
        <v>384.17499999999995</v>
      </c>
      <c r="G410" s="13">
        <f t="shared" si="6"/>
        <v>66.674999999999997</v>
      </c>
      <c r="H410" s="13">
        <v>32.26</v>
      </c>
      <c r="I410" s="13">
        <v>0.50734495499999999</v>
      </c>
      <c r="J410" s="13">
        <v>34.924999999999997</v>
      </c>
      <c r="K410" s="13">
        <v>0.17526</v>
      </c>
      <c r="L410" s="10" t="s">
        <v>10</v>
      </c>
      <c r="M410" s="3" t="s">
        <v>18</v>
      </c>
      <c r="O410" s="12">
        <f>C410/0.6</f>
        <v>250</v>
      </c>
    </row>
    <row r="411" spans="1:15" x14ac:dyDescent="0.3">
      <c r="A411" s="1">
        <v>422</v>
      </c>
      <c r="B411" s="13">
        <v>34.827586206896555</v>
      </c>
      <c r="C411" s="13">
        <v>150</v>
      </c>
      <c r="D411" s="1">
        <v>2</v>
      </c>
      <c r="E411" s="13">
        <v>203.2</v>
      </c>
      <c r="F411" s="3">
        <v>384.17499999999995</v>
      </c>
      <c r="G411" s="13">
        <f t="shared" si="6"/>
        <v>66.674999999999997</v>
      </c>
      <c r="H411" s="13">
        <v>32.26</v>
      </c>
      <c r="I411" s="13">
        <v>0.50734495499999999</v>
      </c>
      <c r="J411" s="13">
        <v>34.924999999999997</v>
      </c>
      <c r="K411" s="13">
        <v>0.20573999999999998</v>
      </c>
      <c r="L411" s="10" t="s">
        <v>10</v>
      </c>
      <c r="M411" s="3" t="s">
        <v>18</v>
      </c>
      <c r="N411" s="12"/>
      <c r="O411" s="12">
        <f t="shared" ref="O411:O430" si="7">C411/0.6</f>
        <v>250</v>
      </c>
    </row>
    <row r="412" spans="1:15" x14ac:dyDescent="0.3">
      <c r="A412" s="1">
        <v>423</v>
      </c>
      <c r="B412" s="13">
        <v>37.241379310344826</v>
      </c>
      <c r="C412" s="13">
        <v>240</v>
      </c>
      <c r="D412" s="1">
        <v>2</v>
      </c>
      <c r="E412" s="13">
        <v>203.2</v>
      </c>
      <c r="F412" s="3">
        <v>384.17499999999995</v>
      </c>
      <c r="G412" s="13">
        <f t="shared" si="6"/>
        <v>66.674999999999997</v>
      </c>
      <c r="H412" s="13">
        <v>32.26</v>
      </c>
      <c r="I412" s="13">
        <v>0.50734495499999999</v>
      </c>
      <c r="J412" s="13">
        <v>34.924999999999997</v>
      </c>
      <c r="K412" s="13">
        <v>0.18795999999999999</v>
      </c>
      <c r="L412" s="10" t="s">
        <v>10</v>
      </c>
      <c r="M412" s="3" t="s">
        <v>18</v>
      </c>
      <c r="N412" s="12"/>
      <c r="O412" s="12">
        <f t="shared" si="7"/>
        <v>400</v>
      </c>
    </row>
    <row r="413" spans="1:15" x14ac:dyDescent="0.3">
      <c r="A413" s="1">
        <v>424</v>
      </c>
      <c r="B413" s="13">
        <v>36.896551724137929</v>
      </c>
      <c r="C413" s="13">
        <v>249</v>
      </c>
      <c r="D413" s="1">
        <v>2</v>
      </c>
      <c r="E413" s="13">
        <v>203.2</v>
      </c>
      <c r="F413" s="3">
        <v>384.17499999999995</v>
      </c>
      <c r="G413" s="13">
        <f t="shared" si="6"/>
        <v>66.674999999999997</v>
      </c>
      <c r="H413" s="13">
        <v>32.26</v>
      </c>
      <c r="I413" s="13">
        <v>0.50734495499999999</v>
      </c>
      <c r="J413" s="13">
        <v>34.924999999999997</v>
      </c>
      <c r="K413" s="13">
        <v>0.19049999999999997</v>
      </c>
      <c r="L413" s="10" t="s">
        <v>10</v>
      </c>
      <c r="M413" s="3" t="s">
        <v>18</v>
      </c>
      <c r="N413" s="12"/>
      <c r="O413" s="12">
        <f t="shared" si="7"/>
        <v>415</v>
      </c>
    </row>
    <row r="414" spans="1:15" x14ac:dyDescent="0.3">
      <c r="A414" s="1">
        <v>425</v>
      </c>
      <c r="B414" s="13">
        <v>34.068965517241381</v>
      </c>
      <c r="C414" s="13">
        <v>150</v>
      </c>
      <c r="D414" s="1">
        <v>4</v>
      </c>
      <c r="E414" s="13">
        <v>203.2</v>
      </c>
      <c r="F414" s="3">
        <v>384.17499999999995</v>
      </c>
      <c r="G414" s="13">
        <f t="shared" si="6"/>
        <v>33.337499999999999</v>
      </c>
      <c r="H414" s="13">
        <v>22.23</v>
      </c>
      <c r="I414" s="13">
        <v>0.48181857750000007</v>
      </c>
      <c r="J414" s="13">
        <v>34.924999999999997</v>
      </c>
      <c r="K414" s="13">
        <v>0.22352</v>
      </c>
      <c r="L414" s="10" t="s">
        <v>10</v>
      </c>
      <c r="M414" s="3" t="s">
        <v>18</v>
      </c>
      <c r="N414" s="12"/>
      <c r="O414" s="12">
        <f t="shared" si="7"/>
        <v>250</v>
      </c>
    </row>
    <row r="415" spans="1:15" x14ac:dyDescent="0.3">
      <c r="A415" s="1">
        <v>426</v>
      </c>
      <c r="B415" s="13">
        <v>32.758620689655174</v>
      </c>
      <c r="C415" s="13">
        <v>249</v>
      </c>
      <c r="D415" s="1">
        <v>4</v>
      </c>
      <c r="E415" s="13">
        <v>203.2</v>
      </c>
      <c r="F415" s="3">
        <v>384.17499999999995</v>
      </c>
      <c r="G415" s="13">
        <f t="shared" si="6"/>
        <v>33.337499999999999</v>
      </c>
      <c r="H415" s="13">
        <v>22.23</v>
      </c>
      <c r="I415" s="13">
        <v>0.48181857750000007</v>
      </c>
      <c r="J415" s="13">
        <v>34.924999999999997</v>
      </c>
      <c r="K415" s="13">
        <v>0.19049999999999997</v>
      </c>
      <c r="L415" s="10" t="s">
        <v>10</v>
      </c>
      <c r="M415" s="3" t="s">
        <v>18</v>
      </c>
      <c r="N415" s="12"/>
      <c r="O415" s="12">
        <f t="shared" si="7"/>
        <v>415</v>
      </c>
    </row>
    <row r="416" spans="1:15" x14ac:dyDescent="0.3">
      <c r="A416" s="1">
        <v>427</v>
      </c>
      <c r="B416" s="13">
        <v>33.586206896551722</v>
      </c>
      <c r="C416" s="13">
        <v>249</v>
      </c>
      <c r="D416" s="1">
        <v>4</v>
      </c>
      <c r="E416" s="13">
        <v>203.2</v>
      </c>
      <c r="F416" s="3">
        <v>384.17499999999995</v>
      </c>
      <c r="G416" s="13">
        <f t="shared" si="6"/>
        <v>33.337499999999999</v>
      </c>
      <c r="H416" s="13">
        <v>22.23</v>
      </c>
      <c r="I416" s="13">
        <v>0.48181857750000007</v>
      </c>
      <c r="J416" s="13">
        <v>34.924999999999997</v>
      </c>
      <c r="K416" s="13">
        <v>0.19303999999999999</v>
      </c>
      <c r="L416" s="10" t="s">
        <v>10</v>
      </c>
      <c r="M416" s="3" t="s">
        <v>18</v>
      </c>
      <c r="N416" s="12"/>
      <c r="O416" s="12">
        <f t="shared" si="7"/>
        <v>415</v>
      </c>
    </row>
    <row r="417" spans="1:20" x14ac:dyDescent="0.3">
      <c r="A417" s="1">
        <v>428</v>
      </c>
      <c r="B417" s="13">
        <v>30.482758620689655</v>
      </c>
      <c r="C417" s="13">
        <v>150</v>
      </c>
      <c r="D417" s="1">
        <v>12</v>
      </c>
      <c r="E417" s="13">
        <v>203.2</v>
      </c>
      <c r="F417" s="3">
        <v>384.17499999999995</v>
      </c>
      <c r="G417" s="13">
        <f t="shared" si="6"/>
        <v>11.112499999999999</v>
      </c>
      <c r="H417" s="13">
        <v>12.7</v>
      </c>
      <c r="I417" s="13">
        <v>0.33548319999999987</v>
      </c>
      <c r="J417" s="13">
        <v>34.924999999999997</v>
      </c>
      <c r="K417" s="13">
        <v>0.19558</v>
      </c>
      <c r="L417" s="10" t="s">
        <v>10</v>
      </c>
      <c r="M417" s="3" t="s">
        <v>18</v>
      </c>
      <c r="N417" s="12"/>
      <c r="O417" s="12">
        <f t="shared" si="7"/>
        <v>250</v>
      </c>
    </row>
    <row r="418" spans="1:20" x14ac:dyDescent="0.3">
      <c r="A418" s="1">
        <v>429</v>
      </c>
      <c r="B418" s="13">
        <v>30.620689655172413</v>
      </c>
      <c r="C418" s="13">
        <v>249</v>
      </c>
      <c r="D418" s="1">
        <v>12</v>
      </c>
      <c r="E418" s="13">
        <v>203.2</v>
      </c>
      <c r="F418" s="3">
        <v>406.4</v>
      </c>
      <c r="G418" s="13">
        <f t="shared" si="6"/>
        <v>11.112499999999999</v>
      </c>
      <c r="H418" s="13">
        <v>12.7</v>
      </c>
      <c r="I418" s="13">
        <v>0.33548319999999987</v>
      </c>
      <c r="J418" s="13">
        <v>34.924999999999997</v>
      </c>
      <c r="K418" s="13">
        <v>0.17779999999999999</v>
      </c>
      <c r="L418" s="10" t="s">
        <v>10</v>
      </c>
      <c r="M418" s="3" t="s">
        <v>18</v>
      </c>
      <c r="N418" s="12"/>
      <c r="O418" s="12">
        <f t="shared" si="7"/>
        <v>415</v>
      </c>
    </row>
    <row r="419" spans="1:20" x14ac:dyDescent="0.3">
      <c r="A419" s="1">
        <v>430</v>
      </c>
      <c r="B419" s="13">
        <v>26.50344827586207</v>
      </c>
      <c r="C419" s="13">
        <v>150</v>
      </c>
      <c r="D419" s="1">
        <v>4</v>
      </c>
      <c r="E419" s="13">
        <v>203.2</v>
      </c>
      <c r="F419" s="3">
        <v>406.4</v>
      </c>
      <c r="G419" s="13">
        <f t="shared" si="6"/>
        <v>41.274999999999999</v>
      </c>
      <c r="H419" s="13">
        <v>22.22</v>
      </c>
      <c r="I419" s="13">
        <v>0.36676966857142851</v>
      </c>
      <c r="J419" s="13">
        <v>19.049999999999997</v>
      </c>
      <c r="K419" s="13">
        <v>0.17779999999999999</v>
      </c>
      <c r="L419" s="10" t="s">
        <v>10</v>
      </c>
      <c r="M419" s="3" t="s">
        <v>18</v>
      </c>
      <c r="N419" s="12"/>
      <c r="O419" s="12">
        <f t="shared" si="7"/>
        <v>250</v>
      </c>
    </row>
    <row r="420" spans="1:20" x14ac:dyDescent="0.3">
      <c r="A420" s="1">
        <v>431</v>
      </c>
      <c r="B420" s="13">
        <v>26.50344827586207</v>
      </c>
      <c r="C420" s="13">
        <v>150</v>
      </c>
      <c r="D420" s="1">
        <v>4</v>
      </c>
      <c r="E420" s="13">
        <v>203.2</v>
      </c>
      <c r="F420" s="3">
        <v>406.4</v>
      </c>
      <c r="G420" s="13">
        <f t="shared" si="6"/>
        <v>41.274999999999999</v>
      </c>
      <c r="H420" s="13">
        <v>22.22</v>
      </c>
      <c r="I420" s="13">
        <v>0.36676966857142851</v>
      </c>
      <c r="J420" s="13">
        <v>19.049999999999997</v>
      </c>
      <c r="K420" s="13">
        <v>0.19558</v>
      </c>
      <c r="L420" s="10" t="s">
        <v>10</v>
      </c>
      <c r="M420" s="3" t="s">
        <v>18</v>
      </c>
      <c r="N420" s="12"/>
      <c r="O420" s="12">
        <f t="shared" si="7"/>
        <v>250</v>
      </c>
    </row>
    <row r="421" spans="1:20" x14ac:dyDescent="0.3">
      <c r="A421" s="1">
        <v>432</v>
      </c>
      <c r="B421" s="13">
        <v>33.448275862068968</v>
      </c>
      <c r="C421" s="13">
        <v>249</v>
      </c>
      <c r="D421" s="1">
        <v>12</v>
      </c>
      <c r="E421" s="13">
        <v>203.2</v>
      </c>
      <c r="F421" s="3">
        <v>400.04999999999995</v>
      </c>
      <c r="G421" s="13">
        <f t="shared" si="6"/>
        <v>11.112499999999999</v>
      </c>
      <c r="H421" s="13">
        <v>12.7</v>
      </c>
      <c r="I421" s="13">
        <v>0.32819008695652163</v>
      </c>
      <c r="J421" s="13">
        <v>34.924999999999997</v>
      </c>
      <c r="K421" s="13">
        <v>0.254</v>
      </c>
      <c r="L421" s="10" t="s">
        <v>10</v>
      </c>
      <c r="M421" s="3" t="s">
        <v>18</v>
      </c>
      <c r="N421" s="12"/>
      <c r="O421" s="12">
        <f t="shared" si="7"/>
        <v>415</v>
      </c>
    </row>
    <row r="422" spans="1:20" x14ac:dyDescent="0.3">
      <c r="A422" s="1">
        <v>433</v>
      </c>
      <c r="B422" s="13">
        <v>32.931034482758619</v>
      </c>
      <c r="C422" s="13">
        <v>249</v>
      </c>
      <c r="D422" s="1">
        <v>9</v>
      </c>
      <c r="E422" s="13">
        <v>203.2</v>
      </c>
      <c r="F422" s="3">
        <v>400.04999999999995</v>
      </c>
      <c r="G422" s="13">
        <f t="shared" si="6"/>
        <v>14.816666666666666</v>
      </c>
      <c r="H422" s="13">
        <v>12.7</v>
      </c>
      <c r="I422" s="13">
        <v>0.24614256521739131</v>
      </c>
      <c r="J422" s="13">
        <v>34.924999999999997</v>
      </c>
      <c r="K422" s="13">
        <v>0.17271999999999998</v>
      </c>
      <c r="L422" s="10" t="s">
        <v>10</v>
      </c>
      <c r="M422" s="3" t="s">
        <v>18</v>
      </c>
      <c r="N422" s="12"/>
      <c r="O422" s="12">
        <f t="shared" si="7"/>
        <v>415</v>
      </c>
      <c r="S422" s="27"/>
    </row>
    <row r="423" spans="1:20" x14ac:dyDescent="0.3">
      <c r="A423" s="1">
        <v>434</v>
      </c>
      <c r="B423" s="13">
        <v>34.620689655172413</v>
      </c>
      <c r="C423" s="13">
        <v>249</v>
      </c>
      <c r="D423" s="1">
        <v>6</v>
      </c>
      <c r="E423" s="13">
        <v>203.2</v>
      </c>
      <c r="F423" s="3">
        <v>406.4</v>
      </c>
      <c r="G423" s="13">
        <f t="shared" si="6"/>
        <v>22.224999999999998</v>
      </c>
      <c r="H423" s="13">
        <v>12.7</v>
      </c>
      <c r="I423" s="13">
        <v>0.16409504347826082</v>
      </c>
      <c r="J423" s="13">
        <v>34.924999999999997</v>
      </c>
      <c r="K423" s="13">
        <v>0.20827999999999999</v>
      </c>
      <c r="L423" s="10" t="s">
        <v>10</v>
      </c>
      <c r="M423" s="3" t="s">
        <v>18</v>
      </c>
      <c r="N423" s="12"/>
      <c r="O423" s="12">
        <f t="shared" si="7"/>
        <v>415</v>
      </c>
      <c r="S423" s="27"/>
    </row>
    <row r="424" spans="1:20" x14ac:dyDescent="0.3">
      <c r="A424" s="1">
        <v>435</v>
      </c>
      <c r="B424" s="13">
        <v>30.344827586206897</v>
      </c>
      <c r="C424" s="13">
        <v>240</v>
      </c>
      <c r="D424" s="1">
        <v>4</v>
      </c>
      <c r="E424" s="13">
        <v>203.2</v>
      </c>
      <c r="F424" s="3">
        <v>406.4</v>
      </c>
      <c r="G424" s="13">
        <f t="shared" si="6"/>
        <v>33.337499999999999</v>
      </c>
      <c r="H424" s="13">
        <v>22.22</v>
      </c>
      <c r="I424" s="13">
        <v>0.36676966857142851</v>
      </c>
      <c r="J424" s="13">
        <v>34.924999999999997</v>
      </c>
      <c r="K424" s="13">
        <v>0.19811999999999999</v>
      </c>
      <c r="L424" s="10" t="s">
        <v>10</v>
      </c>
      <c r="M424" s="3" t="s">
        <v>18</v>
      </c>
      <c r="N424" s="12"/>
      <c r="O424" s="12">
        <f t="shared" si="7"/>
        <v>400</v>
      </c>
      <c r="S424" s="27"/>
    </row>
    <row r="425" spans="1:20" x14ac:dyDescent="0.3">
      <c r="A425" s="1">
        <v>436</v>
      </c>
      <c r="B425" s="13">
        <v>32.206896551724135</v>
      </c>
      <c r="C425" s="13">
        <v>240</v>
      </c>
      <c r="D425" s="1">
        <v>4</v>
      </c>
      <c r="E425" s="13">
        <v>203.2</v>
      </c>
      <c r="F425" s="3">
        <v>400.04999999999995</v>
      </c>
      <c r="G425" s="13">
        <f t="shared" si="6"/>
        <v>33.337499999999999</v>
      </c>
      <c r="H425" s="13">
        <v>22.22</v>
      </c>
      <c r="I425" s="13">
        <v>0.36676966857142851</v>
      </c>
      <c r="J425" s="13">
        <v>34.924999999999997</v>
      </c>
      <c r="K425" s="13">
        <v>0.19303999999999999</v>
      </c>
      <c r="L425" s="10" t="s">
        <v>10</v>
      </c>
      <c r="M425" s="3" t="s">
        <v>18</v>
      </c>
      <c r="N425" s="12"/>
      <c r="O425" s="12">
        <f t="shared" si="7"/>
        <v>400</v>
      </c>
      <c r="S425" s="27"/>
    </row>
    <row r="426" spans="1:20" x14ac:dyDescent="0.3">
      <c r="A426" s="1">
        <v>437</v>
      </c>
      <c r="B426" s="13">
        <v>30.068965517241381</v>
      </c>
      <c r="C426" s="13">
        <v>249</v>
      </c>
      <c r="D426" s="1">
        <v>4</v>
      </c>
      <c r="E426" s="13">
        <v>203.2</v>
      </c>
      <c r="F426" s="3">
        <v>400.04999999999995</v>
      </c>
      <c r="G426" s="13">
        <f t="shared" si="6"/>
        <v>33.337499999999999</v>
      </c>
      <c r="H426" s="13">
        <v>22.22</v>
      </c>
      <c r="I426" s="13">
        <v>0.36676966857142851</v>
      </c>
      <c r="J426" s="13">
        <v>34.924999999999997</v>
      </c>
      <c r="K426" s="13">
        <v>0.18034</v>
      </c>
      <c r="L426" s="10" t="s">
        <v>10</v>
      </c>
      <c r="M426" s="3" t="s">
        <v>18</v>
      </c>
      <c r="N426" s="12"/>
      <c r="O426" s="12">
        <f t="shared" si="7"/>
        <v>415</v>
      </c>
      <c r="S426" s="27"/>
    </row>
    <row r="427" spans="1:20" x14ac:dyDescent="0.3">
      <c r="A427" s="1">
        <v>438</v>
      </c>
      <c r="B427" s="13">
        <v>30.068965517241381</v>
      </c>
      <c r="C427" s="13">
        <v>249</v>
      </c>
      <c r="D427" s="1">
        <v>4</v>
      </c>
      <c r="E427" s="13">
        <v>203.2</v>
      </c>
      <c r="F427" s="3">
        <v>400.04999999999995</v>
      </c>
      <c r="G427" s="13">
        <f t="shared" si="6"/>
        <v>33.337499999999999</v>
      </c>
      <c r="H427" s="13">
        <v>22.22</v>
      </c>
      <c r="I427" s="13">
        <v>0.36676966857142851</v>
      </c>
      <c r="J427" s="13">
        <v>34.924999999999997</v>
      </c>
      <c r="K427" s="13">
        <v>0.18542</v>
      </c>
      <c r="L427" s="10" t="s">
        <v>10</v>
      </c>
      <c r="M427" s="3" t="s">
        <v>18</v>
      </c>
      <c r="N427" s="12"/>
      <c r="O427" s="12">
        <f t="shared" si="7"/>
        <v>415</v>
      </c>
      <c r="S427" s="27"/>
    </row>
    <row r="428" spans="1:20" x14ac:dyDescent="0.3">
      <c r="A428" s="1">
        <v>439</v>
      </c>
      <c r="B428" s="13">
        <v>30.068965517241381</v>
      </c>
      <c r="C428" s="13">
        <v>249</v>
      </c>
      <c r="D428" s="1">
        <v>4</v>
      </c>
      <c r="E428" s="13">
        <v>203.2</v>
      </c>
      <c r="F428" s="3">
        <v>400.04999999999995</v>
      </c>
      <c r="G428" s="13">
        <f t="shared" si="6"/>
        <v>33.337499999999999</v>
      </c>
      <c r="H428" s="13">
        <v>22.22</v>
      </c>
      <c r="I428" s="13">
        <v>0.36676966857142851</v>
      </c>
      <c r="J428" s="13">
        <v>34.924999999999997</v>
      </c>
      <c r="K428" s="13">
        <v>0.17526</v>
      </c>
      <c r="L428" s="10" t="s">
        <v>10</v>
      </c>
      <c r="M428" s="3" t="s">
        <v>18</v>
      </c>
      <c r="N428" s="12"/>
      <c r="O428" s="12">
        <f t="shared" si="7"/>
        <v>415</v>
      </c>
      <c r="S428" s="27"/>
    </row>
    <row r="429" spans="1:20" x14ac:dyDescent="0.3">
      <c r="A429" s="1">
        <v>440</v>
      </c>
      <c r="B429" s="13">
        <v>30.068965517241381</v>
      </c>
      <c r="C429" s="13">
        <v>249</v>
      </c>
      <c r="D429" s="1">
        <v>2</v>
      </c>
      <c r="E429" s="13">
        <v>203.2</v>
      </c>
      <c r="F429" s="3">
        <v>400.04999999999995</v>
      </c>
      <c r="G429" s="13">
        <f t="shared" si="6"/>
        <v>88.899999999999991</v>
      </c>
      <c r="H429" s="13">
        <v>22.22</v>
      </c>
      <c r="I429" s="13">
        <v>0.64184691999999999</v>
      </c>
      <c r="J429" s="13">
        <v>12.7</v>
      </c>
      <c r="K429" s="13">
        <v>9.6519999999999995E-2</v>
      </c>
      <c r="L429" s="10" t="s">
        <v>10</v>
      </c>
      <c r="M429" s="3" t="s">
        <v>18</v>
      </c>
      <c r="N429" s="12"/>
      <c r="O429" s="12">
        <f t="shared" si="7"/>
        <v>415</v>
      </c>
      <c r="S429" s="27"/>
    </row>
    <row r="430" spans="1:20" s="6" customFormat="1" x14ac:dyDescent="0.3">
      <c r="A430" s="1">
        <v>441</v>
      </c>
      <c r="B430" s="13">
        <v>34.413789999999999</v>
      </c>
      <c r="C430" s="13">
        <v>322.55172413793105</v>
      </c>
      <c r="D430" s="1">
        <v>5</v>
      </c>
      <c r="E430" s="13">
        <v>304.79999999999995</v>
      </c>
      <c r="F430" s="3">
        <v>400.04999999999995</v>
      </c>
      <c r="G430" s="13">
        <f t="shared" si="6"/>
        <v>59.639199999999995</v>
      </c>
      <c r="H430" s="13">
        <v>3.17</v>
      </c>
      <c r="I430" s="13">
        <v>7.6923076923076927E-2</v>
      </c>
      <c r="J430" s="13">
        <v>3.302</v>
      </c>
      <c r="K430" s="13">
        <v>0.16383</v>
      </c>
      <c r="L430" s="10" t="s">
        <v>10</v>
      </c>
      <c r="M430" s="3" t="s">
        <v>19</v>
      </c>
      <c r="N430" s="12"/>
      <c r="O430" s="12">
        <f t="shared" si="7"/>
        <v>537.58620689655174</v>
      </c>
      <c r="R430" s="3"/>
      <c r="S430" s="27"/>
      <c r="T430" s="3"/>
    </row>
    <row r="431" spans="1:20" x14ac:dyDescent="0.3">
      <c r="A431" s="1">
        <v>442</v>
      </c>
      <c r="B431" s="13">
        <v>31.172413793103448</v>
      </c>
      <c r="C431" s="13">
        <v>343.24137931034483</v>
      </c>
      <c r="D431" s="1">
        <v>3</v>
      </c>
      <c r="E431" s="13">
        <v>304.79999999999995</v>
      </c>
      <c r="F431" s="3">
        <v>174.625</v>
      </c>
      <c r="G431" s="13">
        <f t="shared" si="6"/>
        <v>95.842666666666659</v>
      </c>
      <c r="H431" s="13">
        <v>6.35</v>
      </c>
      <c r="I431" s="13">
        <v>0.13828238719068414</v>
      </c>
      <c r="J431" s="13">
        <v>8.636000000000001</v>
      </c>
      <c r="K431" s="13">
        <v>0.29463999999999996</v>
      </c>
      <c r="L431" s="10" t="s">
        <v>10</v>
      </c>
      <c r="M431" s="3" t="s">
        <v>19</v>
      </c>
      <c r="N431" s="12"/>
      <c r="O431"/>
      <c r="S431" s="27"/>
    </row>
    <row r="432" spans="1:20" x14ac:dyDescent="0.3">
      <c r="A432" s="1">
        <v>443</v>
      </c>
      <c r="B432" s="13">
        <v>30.482758620689655</v>
      </c>
      <c r="C432" s="13">
        <v>322.55172413793105</v>
      </c>
      <c r="D432" s="1">
        <v>5</v>
      </c>
      <c r="E432" s="13">
        <v>304.79999999999995</v>
      </c>
      <c r="F432" s="3">
        <v>177.79999999999998</v>
      </c>
      <c r="G432" s="13">
        <f t="shared" si="6"/>
        <v>57.200799999999994</v>
      </c>
      <c r="H432" s="13">
        <v>3.17</v>
      </c>
      <c r="I432" s="13">
        <v>0.14285714285714285</v>
      </c>
      <c r="J432" s="13">
        <v>9.3979999999999997</v>
      </c>
      <c r="K432" s="13">
        <v>0.36321999999999999</v>
      </c>
      <c r="L432" s="10" t="s">
        <v>10</v>
      </c>
      <c r="M432" s="3" t="s">
        <v>19</v>
      </c>
      <c r="N432" s="12"/>
      <c r="O432"/>
      <c r="S432" s="27"/>
    </row>
    <row r="433" spans="1:19" x14ac:dyDescent="0.3">
      <c r="A433" s="1">
        <v>444</v>
      </c>
      <c r="B433" s="13">
        <v>39.793103448275865</v>
      </c>
      <c r="C433" s="13">
        <v>343.24137931034483</v>
      </c>
      <c r="D433" s="1">
        <v>3</v>
      </c>
      <c r="E433" s="13">
        <v>304.79999999999995</v>
      </c>
      <c r="F433" s="3">
        <v>165.1</v>
      </c>
      <c r="G433" s="13">
        <f t="shared" si="6"/>
        <v>95.842666666666659</v>
      </c>
      <c r="H433" s="13">
        <v>6.35</v>
      </c>
      <c r="I433" s="13">
        <v>0.15384615384615385</v>
      </c>
      <c r="J433" s="13">
        <v>8.636000000000001</v>
      </c>
      <c r="K433" s="13">
        <v>0.11557000000000001</v>
      </c>
      <c r="L433" s="10" t="s">
        <v>10</v>
      </c>
      <c r="M433" s="3" t="s">
        <v>19</v>
      </c>
      <c r="N433" s="12"/>
      <c r="O433"/>
      <c r="S433" s="27"/>
    </row>
    <row r="434" spans="1:19" x14ac:dyDescent="0.3">
      <c r="A434" s="1">
        <v>445</v>
      </c>
      <c r="B434" s="13">
        <v>28</v>
      </c>
      <c r="C434" s="13">
        <v>343.24137931034483</v>
      </c>
      <c r="D434" s="1">
        <v>4</v>
      </c>
      <c r="E434" s="13">
        <v>304.79999999999995</v>
      </c>
      <c r="F434" s="3">
        <v>168.27499999999998</v>
      </c>
      <c r="G434" s="13">
        <f t="shared" si="6"/>
        <v>71.881999999999991</v>
      </c>
      <c r="H434" s="13">
        <v>6.35</v>
      </c>
      <c r="I434" s="13">
        <v>0.15861027190332327</v>
      </c>
      <c r="J434" s="13">
        <v>8.636000000000001</v>
      </c>
      <c r="K434" s="13">
        <v>0.32512000000000002</v>
      </c>
      <c r="L434" s="10" t="s">
        <v>10</v>
      </c>
      <c r="M434" s="3" t="s">
        <v>19</v>
      </c>
      <c r="N434" s="12"/>
      <c r="O434"/>
      <c r="S434" s="27"/>
    </row>
    <row r="435" spans="1:19" x14ac:dyDescent="0.3">
      <c r="A435" s="1">
        <v>446</v>
      </c>
      <c r="B435" s="13">
        <v>27.448275862068964</v>
      </c>
      <c r="C435" s="13">
        <v>343.86206896551727</v>
      </c>
      <c r="D435" s="1">
        <v>3</v>
      </c>
      <c r="E435" s="13">
        <v>304.79999999999995</v>
      </c>
      <c r="F435" s="3">
        <v>165.1</v>
      </c>
      <c r="G435" s="13">
        <f t="shared" si="6"/>
        <v>95.165333333333322</v>
      </c>
      <c r="H435" s="13">
        <v>9.5250000000000004</v>
      </c>
      <c r="I435" s="13">
        <v>0.15384615384615385</v>
      </c>
      <c r="J435" s="13">
        <v>9.6519999999999992</v>
      </c>
      <c r="K435" s="13">
        <v>0.14223999999999998</v>
      </c>
      <c r="L435" s="10" t="s">
        <v>10</v>
      </c>
      <c r="M435" s="3" t="s">
        <v>19</v>
      </c>
      <c r="N435" s="12"/>
      <c r="O435"/>
      <c r="S435" s="27"/>
    </row>
    <row r="436" spans="1:19" x14ac:dyDescent="0.3">
      <c r="A436" s="1">
        <v>447</v>
      </c>
      <c r="B436" s="13">
        <v>36.96551724137931</v>
      </c>
      <c r="C436" s="13">
        <v>343.86206896551727</v>
      </c>
      <c r="D436" s="1">
        <v>5</v>
      </c>
      <c r="E436" s="13">
        <v>279.39999999999998</v>
      </c>
      <c r="F436" s="3">
        <v>165.1</v>
      </c>
      <c r="G436" s="13">
        <f t="shared" si="6"/>
        <v>52.019199999999998</v>
      </c>
      <c r="H436" s="13">
        <v>9.5250000000000004</v>
      </c>
      <c r="I436" s="13">
        <v>0.15384615384615385</v>
      </c>
      <c r="J436" s="13">
        <v>9.6519999999999992</v>
      </c>
      <c r="K436" s="13">
        <v>0.22097999999999998</v>
      </c>
      <c r="L436" s="10" t="s">
        <v>10</v>
      </c>
      <c r="M436" s="3" t="s">
        <v>19</v>
      </c>
      <c r="N436" s="12"/>
      <c r="O436"/>
      <c r="S436" s="27"/>
    </row>
    <row r="437" spans="1:19" x14ac:dyDescent="0.3">
      <c r="A437" s="1">
        <v>448</v>
      </c>
      <c r="B437" s="13">
        <v>34.551724137931032</v>
      </c>
      <c r="C437" s="13">
        <v>343.86206896551727</v>
      </c>
      <c r="D437" s="1">
        <v>5</v>
      </c>
      <c r="E437" s="13">
        <v>317.5</v>
      </c>
      <c r="F437" s="3">
        <v>171.45</v>
      </c>
      <c r="G437" s="13">
        <f t="shared" si="6"/>
        <v>59.029600000000002</v>
      </c>
      <c r="H437" s="13">
        <v>9.5250000000000004</v>
      </c>
      <c r="I437" s="13">
        <v>0.16237037037037036</v>
      </c>
      <c r="J437" s="13">
        <v>11.176</v>
      </c>
      <c r="K437" s="13">
        <v>0.11887199999999999</v>
      </c>
      <c r="L437" s="10" t="s">
        <v>10</v>
      </c>
      <c r="M437" s="3" t="s">
        <v>19</v>
      </c>
      <c r="N437" s="12"/>
      <c r="O437"/>
      <c r="S437" s="27"/>
    </row>
    <row r="438" spans="1:19" x14ac:dyDescent="0.3">
      <c r="A438" s="1">
        <v>449</v>
      </c>
      <c r="B438" s="13">
        <v>30.482758620689655</v>
      </c>
      <c r="C438" s="13">
        <v>322.55172413793105</v>
      </c>
      <c r="D438" s="1">
        <v>5</v>
      </c>
      <c r="E438" s="13">
        <v>304.79999999999995</v>
      </c>
      <c r="F438" s="3">
        <v>171.45</v>
      </c>
      <c r="G438" s="13">
        <f t="shared" ref="G438:G495" si="8">(E438-2*J438)/D438</f>
        <v>55.879999999999995</v>
      </c>
      <c r="H438" s="13">
        <v>3.17</v>
      </c>
      <c r="I438" s="13">
        <v>0.18395061728395062</v>
      </c>
      <c r="J438" s="13">
        <v>12.7</v>
      </c>
      <c r="K438" s="13">
        <v>0.30733999999999995</v>
      </c>
      <c r="L438" s="10" t="s">
        <v>10</v>
      </c>
      <c r="M438" s="3" t="s">
        <v>19</v>
      </c>
      <c r="N438" s="12"/>
      <c r="O438"/>
      <c r="S438" s="27"/>
    </row>
    <row r="439" spans="1:19" x14ac:dyDescent="0.3">
      <c r="A439" s="1">
        <v>450</v>
      </c>
      <c r="B439" s="13">
        <v>39.379310344827587</v>
      </c>
      <c r="C439" s="13">
        <v>343.86206896551727</v>
      </c>
      <c r="D439" s="1">
        <v>5</v>
      </c>
      <c r="E439" s="13">
        <v>330.2</v>
      </c>
      <c r="F439" s="3">
        <v>165.1</v>
      </c>
      <c r="G439" s="13">
        <f t="shared" si="8"/>
        <v>57.302399999999999</v>
      </c>
      <c r="H439" s="13">
        <v>9.5250000000000004</v>
      </c>
      <c r="I439" s="13">
        <v>0.30769230769230771</v>
      </c>
      <c r="J439" s="13">
        <v>21.843999999999998</v>
      </c>
      <c r="K439" s="13">
        <v>0.25247599999999998</v>
      </c>
      <c r="L439" s="10" t="s">
        <v>10</v>
      </c>
      <c r="M439" s="3" t="s">
        <v>19</v>
      </c>
      <c r="N439" s="12"/>
      <c r="O439"/>
      <c r="S439" s="27"/>
    </row>
    <row r="440" spans="1:19" x14ac:dyDescent="0.3">
      <c r="A440" s="1">
        <v>451</v>
      </c>
      <c r="B440" s="13">
        <v>28</v>
      </c>
      <c r="C440" s="13">
        <v>343.24137931034483</v>
      </c>
      <c r="D440" s="1">
        <v>3</v>
      </c>
      <c r="E440" s="13">
        <v>304.79999999999995</v>
      </c>
      <c r="F440" s="3">
        <v>165.1</v>
      </c>
      <c r="G440" s="13">
        <f t="shared" si="8"/>
        <v>70.442666666666653</v>
      </c>
      <c r="H440" s="13">
        <v>6.35</v>
      </c>
      <c r="I440" s="13">
        <v>0.61538461538461542</v>
      </c>
      <c r="J440" s="13">
        <v>46.735999999999997</v>
      </c>
      <c r="K440" s="13">
        <v>0.18592799999999998</v>
      </c>
      <c r="L440" s="10" t="s">
        <v>10</v>
      </c>
      <c r="M440" s="3" t="s">
        <v>19</v>
      </c>
      <c r="N440" s="12"/>
      <c r="O440"/>
      <c r="S440" s="27"/>
    </row>
    <row r="441" spans="1:19" x14ac:dyDescent="0.3">
      <c r="A441" s="1">
        <v>452</v>
      </c>
      <c r="B441" s="13">
        <v>34.482758620689658</v>
      </c>
      <c r="C441" s="13">
        <v>343.24137931034483</v>
      </c>
      <c r="D441" s="1">
        <v>3</v>
      </c>
      <c r="E441" s="13">
        <v>304.79999999999995</v>
      </c>
      <c r="F441" s="3">
        <v>165.1</v>
      </c>
      <c r="G441" s="13">
        <f t="shared" si="8"/>
        <v>61.975999999999992</v>
      </c>
      <c r="H441" s="13">
        <v>6.35</v>
      </c>
      <c r="I441" s="13">
        <v>0.76923076923076927</v>
      </c>
      <c r="J441" s="13">
        <v>59.435999999999993</v>
      </c>
      <c r="K441" s="13">
        <v>0.12953999999999999</v>
      </c>
      <c r="L441" s="10" t="s">
        <v>10</v>
      </c>
      <c r="M441" s="3" t="s">
        <v>19</v>
      </c>
      <c r="N441" s="12"/>
      <c r="O441"/>
      <c r="S441" s="27"/>
    </row>
    <row r="442" spans="1:19" x14ac:dyDescent="0.3">
      <c r="A442" s="1">
        <v>453</v>
      </c>
      <c r="B442" s="13">
        <v>39.310344827586206</v>
      </c>
      <c r="C442" s="13">
        <v>343.86206896551727</v>
      </c>
      <c r="D442" s="1">
        <v>5</v>
      </c>
      <c r="E442" s="13">
        <v>311.14999999999998</v>
      </c>
      <c r="F442" s="3">
        <v>161.92499999999998</v>
      </c>
      <c r="G442" s="13">
        <f t="shared" si="8"/>
        <v>36.931599999999989</v>
      </c>
      <c r="H442" s="13">
        <v>9.5250000000000004</v>
      </c>
      <c r="I442" s="13">
        <v>0.82593037214885956</v>
      </c>
      <c r="J442" s="13">
        <v>63.246000000000002</v>
      </c>
      <c r="K442" s="13">
        <v>8.6359999999999992E-2</v>
      </c>
      <c r="L442" s="10" t="s">
        <v>10</v>
      </c>
      <c r="M442" s="3" t="s">
        <v>19</v>
      </c>
      <c r="N442" s="12"/>
      <c r="O442"/>
      <c r="S442" s="27"/>
    </row>
    <row r="443" spans="1:19" x14ac:dyDescent="0.3">
      <c r="A443" s="1">
        <v>454</v>
      </c>
      <c r="B443" s="13">
        <v>34.413793103448278</v>
      </c>
      <c r="C443" s="13">
        <v>322.55172413793105</v>
      </c>
      <c r="D443" s="1">
        <v>5</v>
      </c>
      <c r="E443" s="13">
        <v>304.79999999999995</v>
      </c>
      <c r="F443" s="3">
        <v>177.79999999999998</v>
      </c>
      <c r="G443" s="13">
        <f t="shared" si="8"/>
        <v>31.800799999999992</v>
      </c>
      <c r="H443" s="13">
        <v>3.17</v>
      </c>
      <c r="I443" s="13">
        <v>0.8571428571428571</v>
      </c>
      <c r="J443" s="13">
        <v>72.897999999999996</v>
      </c>
      <c r="K443" s="13">
        <v>0.37845999999999996</v>
      </c>
      <c r="L443" s="10" t="s">
        <v>10</v>
      </c>
      <c r="M443" s="3" t="s">
        <v>19</v>
      </c>
      <c r="N443" s="12"/>
      <c r="O443"/>
      <c r="S443" s="27"/>
    </row>
    <row r="444" spans="1:19" x14ac:dyDescent="0.3">
      <c r="A444" s="1">
        <v>455</v>
      </c>
      <c r="B444" s="13">
        <v>36.96551724137931</v>
      </c>
      <c r="C444" s="13">
        <v>343.86206896551727</v>
      </c>
      <c r="D444" s="1">
        <v>3</v>
      </c>
      <c r="E444" s="13">
        <v>304.79999999999995</v>
      </c>
      <c r="F444" s="3">
        <v>174.625</v>
      </c>
      <c r="G444" s="13">
        <f t="shared" si="8"/>
        <v>40.301333333333325</v>
      </c>
      <c r="H444" s="13">
        <v>9.5250000000000004</v>
      </c>
      <c r="I444" s="13">
        <v>1.0909090909090908</v>
      </c>
      <c r="J444" s="13">
        <v>91.947999999999993</v>
      </c>
      <c r="K444" s="13">
        <v>0.40893999999999997</v>
      </c>
      <c r="L444" s="10" t="s">
        <v>10</v>
      </c>
      <c r="M444" s="3" t="s">
        <v>19</v>
      </c>
      <c r="N444" s="12"/>
      <c r="O444"/>
      <c r="S444" s="27"/>
    </row>
    <row r="445" spans="1:19" x14ac:dyDescent="0.3">
      <c r="A445" s="1">
        <v>456</v>
      </c>
      <c r="B445" s="13">
        <v>36.96551724137931</v>
      </c>
      <c r="C445" s="13">
        <v>343.86206896551727</v>
      </c>
      <c r="D445" s="1">
        <v>5</v>
      </c>
      <c r="E445" s="13">
        <v>304.79999999999995</v>
      </c>
      <c r="F445" s="3">
        <v>171.45</v>
      </c>
      <c r="G445" s="13">
        <f t="shared" si="8"/>
        <v>22.758399999999995</v>
      </c>
      <c r="H445" s="13">
        <v>9.5250000000000004</v>
      </c>
      <c r="I445" s="13">
        <v>1.1358024691358024</v>
      </c>
      <c r="J445" s="13">
        <v>95.503999999999991</v>
      </c>
      <c r="K445" s="13">
        <v>0.32003999999999999</v>
      </c>
      <c r="L445" s="10" t="s">
        <v>10</v>
      </c>
      <c r="M445" s="3" t="s">
        <v>19</v>
      </c>
      <c r="N445" s="12"/>
      <c r="O445"/>
      <c r="S445" s="27"/>
    </row>
    <row r="446" spans="1:19" x14ac:dyDescent="0.3">
      <c r="A446" s="1">
        <v>457</v>
      </c>
      <c r="B446" s="13">
        <v>28</v>
      </c>
      <c r="C446" s="13">
        <v>343.24137931034483</v>
      </c>
      <c r="D446" s="1">
        <v>4</v>
      </c>
      <c r="E446" s="13">
        <v>304.79999999999995</v>
      </c>
      <c r="F446" s="3">
        <v>165.1</v>
      </c>
      <c r="G446" s="13">
        <f t="shared" si="8"/>
        <v>16.255999999999993</v>
      </c>
      <c r="H446" s="13">
        <v>6.35</v>
      </c>
      <c r="I446" s="13">
        <v>1.4935897435897436</v>
      </c>
      <c r="J446" s="13">
        <v>119.88799999999999</v>
      </c>
      <c r="K446" s="13">
        <v>0.79755999999999994</v>
      </c>
      <c r="L446" s="10" t="s">
        <v>10</v>
      </c>
      <c r="M446" s="3" t="s">
        <v>19</v>
      </c>
      <c r="N446" s="12"/>
      <c r="O446"/>
      <c r="S446" s="27"/>
    </row>
    <row r="447" spans="1:19" x14ac:dyDescent="0.3">
      <c r="A447" s="1">
        <v>458</v>
      </c>
      <c r="B447" s="13">
        <v>35.724137931034484</v>
      </c>
      <c r="C447" s="13">
        <v>343.86206896551727</v>
      </c>
      <c r="D447" s="1">
        <v>4</v>
      </c>
      <c r="E447" s="13">
        <v>152.39999999999998</v>
      </c>
      <c r="F447" s="3">
        <v>304.79999999999995</v>
      </c>
      <c r="G447" s="13">
        <f t="shared" si="8"/>
        <v>3.0480000000000018</v>
      </c>
      <c r="H447" s="13">
        <v>9.5250000000000004</v>
      </c>
      <c r="I447" s="13">
        <v>0.48055555555555557</v>
      </c>
      <c r="J447" s="13">
        <v>70.103999999999985</v>
      </c>
      <c r="K447" s="13">
        <v>0.25653999999999999</v>
      </c>
      <c r="L447" s="10" t="s">
        <v>10</v>
      </c>
      <c r="M447" s="3" t="s">
        <v>19</v>
      </c>
      <c r="N447" s="12"/>
      <c r="O447"/>
      <c r="S447" s="27"/>
    </row>
    <row r="448" spans="1:19" ht="13.8" customHeight="1" x14ac:dyDescent="0.3">
      <c r="A448" s="1">
        <v>459</v>
      </c>
      <c r="B448" s="13">
        <v>27.931034482758619</v>
      </c>
      <c r="C448" s="13">
        <v>343.86206896551727</v>
      </c>
      <c r="D448" s="1">
        <v>4</v>
      </c>
      <c r="E448" s="13">
        <v>152.39999999999998</v>
      </c>
      <c r="F448" s="3">
        <v>304.79999999999995</v>
      </c>
      <c r="G448" s="13">
        <f t="shared" si="8"/>
        <v>1.5240000000000009</v>
      </c>
      <c r="H448" s="13">
        <v>9.5250000000000004</v>
      </c>
      <c r="I448" s="13">
        <v>0.5</v>
      </c>
      <c r="J448" s="13">
        <v>73.151999999999987</v>
      </c>
      <c r="K448" s="13">
        <v>0.19303999999999999</v>
      </c>
      <c r="L448" s="10" t="s">
        <v>10</v>
      </c>
      <c r="M448" s="3" t="s">
        <v>19</v>
      </c>
      <c r="N448" s="12"/>
      <c r="O448"/>
      <c r="S448" s="27"/>
    </row>
    <row r="449" spans="1:22" ht="15.6" x14ac:dyDescent="0.3">
      <c r="A449" s="1">
        <v>460</v>
      </c>
      <c r="B449" s="13">
        <v>31.379310344827587</v>
      </c>
      <c r="C449" s="13">
        <v>393.10344827586209</v>
      </c>
      <c r="D449" s="1">
        <v>8</v>
      </c>
      <c r="E449" s="13">
        <v>203.2</v>
      </c>
      <c r="F449" s="3">
        <v>304.79999999999995</v>
      </c>
      <c r="G449" s="13">
        <f t="shared" si="8"/>
        <v>11.874499999999999</v>
      </c>
      <c r="H449" s="13">
        <v>12.7</v>
      </c>
      <c r="I449" s="13">
        <v>0.296875</v>
      </c>
      <c r="J449" s="7">
        <v>54.101999999999997</v>
      </c>
      <c r="K449" s="13">
        <v>0.18034</v>
      </c>
      <c r="L449" s="10" t="s">
        <v>10</v>
      </c>
      <c r="M449" s="3" t="s">
        <v>20</v>
      </c>
      <c r="N449" s="12"/>
      <c r="O449"/>
      <c r="P449" s="3">
        <v>3.65</v>
      </c>
      <c r="Q449" s="3">
        <f>P449*25.4</f>
        <v>92.71</v>
      </c>
      <c r="S449" s="3">
        <v>17.5</v>
      </c>
      <c r="T449" s="3">
        <v>13.625</v>
      </c>
      <c r="U449" s="3">
        <f>S449-T449</f>
        <v>3.875</v>
      </c>
      <c r="V449" s="3">
        <f>U449*25.4</f>
        <v>98.424999999999997</v>
      </c>
    </row>
    <row r="450" spans="1:22" ht="15.6" x14ac:dyDescent="0.3">
      <c r="A450" s="1">
        <v>461</v>
      </c>
      <c r="B450" s="13">
        <v>24.758620689655171</v>
      </c>
      <c r="C450" s="13">
        <v>393.10344827586209</v>
      </c>
      <c r="D450" s="1">
        <v>8</v>
      </c>
      <c r="E450" s="13">
        <v>203.2</v>
      </c>
      <c r="F450" s="3">
        <v>304.79999999999995</v>
      </c>
      <c r="G450" s="13">
        <f t="shared" si="8"/>
        <v>11.874499999999999</v>
      </c>
      <c r="H450" s="13">
        <v>12.7</v>
      </c>
      <c r="I450" s="13">
        <v>0.296875</v>
      </c>
      <c r="J450" s="7">
        <v>54.101999999999997</v>
      </c>
      <c r="K450" s="13">
        <v>0.23621999999999996</v>
      </c>
      <c r="L450" s="10" t="s">
        <v>10</v>
      </c>
      <c r="M450" s="3" t="s">
        <v>20</v>
      </c>
      <c r="N450" s="12"/>
      <c r="O450"/>
      <c r="P450" s="3">
        <v>3.65</v>
      </c>
      <c r="Q450" s="3">
        <f t="shared" ref="Q450:Q459" si="9">P450*25.4</f>
        <v>92.71</v>
      </c>
      <c r="S450" s="3">
        <v>17.5</v>
      </c>
      <c r="T450" s="3">
        <v>13.625</v>
      </c>
      <c r="U450" s="3">
        <f t="shared" ref="U450:U459" si="10">S450-T450</f>
        <v>3.875</v>
      </c>
      <c r="V450" s="3">
        <f t="shared" ref="V450:V459" si="11">U450*25.4</f>
        <v>98.424999999999997</v>
      </c>
    </row>
    <row r="451" spans="1:22" ht="15.6" x14ac:dyDescent="0.3">
      <c r="A451" s="1">
        <v>462</v>
      </c>
      <c r="B451" s="13">
        <v>27.931034482758619</v>
      </c>
      <c r="C451" s="13">
        <v>393.10344827586209</v>
      </c>
      <c r="D451" s="1">
        <v>8</v>
      </c>
      <c r="E451" s="13">
        <v>406.4</v>
      </c>
      <c r="F451" s="3">
        <v>304.79999999999995</v>
      </c>
      <c r="G451" s="13">
        <f t="shared" si="8"/>
        <v>37.274499999999996</v>
      </c>
      <c r="H451" s="13">
        <v>12.7</v>
      </c>
      <c r="I451" s="13">
        <v>0.296875</v>
      </c>
      <c r="J451" s="7">
        <v>54.101999999999997</v>
      </c>
      <c r="K451" s="13">
        <v>0.20573999999999998</v>
      </c>
      <c r="L451" s="10" t="s">
        <v>10</v>
      </c>
      <c r="M451" s="3" t="s">
        <v>20</v>
      </c>
      <c r="N451" s="12"/>
      <c r="O451"/>
      <c r="P451" s="3">
        <v>2.13</v>
      </c>
      <c r="Q451" s="3">
        <f t="shared" si="9"/>
        <v>54.101999999999997</v>
      </c>
      <c r="S451" s="3">
        <v>16</v>
      </c>
      <c r="T451" s="3">
        <v>13.625</v>
      </c>
      <c r="U451" s="3">
        <f t="shared" si="10"/>
        <v>2.375</v>
      </c>
      <c r="V451" s="3">
        <f t="shared" si="11"/>
        <v>60.324999999999996</v>
      </c>
    </row>
    <row r="452" spans="1:22" ht="15.6" x14ac:dyDescent="0.3">
      <c r="A452" s="1">
        <v>463</v>
      </c>
      <c r="B452" s="13">
        <v>30.758620689655171</v>
      </c>
      <c r="C452" s="13">
        <v>393.10344827586209</v>
      </c>
      <c r="D452" s="1">
        <v>8</v>
      </c>
      <c r="E452" s="13">
        <v>406.4</v>
      </c>
      <c r="F452" s="3">
        <v>304.79999999999995</v>
      </c>
      <c r="G452" s="13">
        <f t="shared" si="8"/>
        <v>37.274499999999996</v>
      </c>
      <c r="H452" s="13">
        <v>12.7</v>
      </c>
      <c r="I452" s="13">
        <v>0.296875</v>
      </c>
      <c r="J452" s="7">
        <v>54.101999999999997</v>
      </c>
      <c r="K452" s="13">
        <v>0.29718</v>
      </c>
      <c r="L452" s="10" t="s">
        <v>10</v>
      </c>
      <c r="M452" s="3" t="s">
        <v>20</v>
      </c>
      <c r="N452" s="12"/>
      <c r="O452"/>
      <c r="P452" s="3">
        <v>2.13</v>
      </c>
      <c r="Q452" s="3">
        <f t="shared" si="9"/>
        <v>54.101999999999997</v>
      </c>
      <c r="S452" s="3">
        <v>16</v>
      </c>
      <c r="T452" s="3">
        <v>13.625</v>
      </c>
      <c r="U452" s="3">
        <f t="shared" si="10"/>
        <v>2.375</v>
      </c>
      <c r="V452" s="3">
        <f t="shared" si="11"/>
        <v>60.324999999999996</v>
      </c>
    </row>
    <row r="453" spans="1:22" ht="15.6" x14ac:dyDescent="0.3">
      <c r="A453" s="1">
        <v>464</v>
      </c>
      <c r="B453" s="13">
        <v>25.931034482758619</v>
      </c>
      <c r="C453" s="13">
        <v>393.10344827586209</v>
      </c>
      <c r="D453" s="1">
        <v>8</v>
      </c>
      <c r="E453" s="13">
        <v>406.4</v>
      </c>
      <c r="F453" s="3">
        <v>304.79999999999995</v>
      </c>
      <c r="G453" s="13">
        <f t="shared" si="8"/>
        <v>37.274499999999996</v>
      </c>
      <c r="H453" s="13">
        <v>12.7</v>
      </c>
      <c r="I453" s="13">
        <v>0.4453125</v>
      </c>
      <c r="J453" s="7">
        <v>54.101999999999997</v>
      </c>
      <c r="K453" s="13">
        <v>0.28955999999999998</v>
      </c>
      <c r="L453" s="10" t="s">
        <v>10</v>
      </c>
      <c r="M453" s="3" t="s">
        <v>20</v>
      </c>
      <c r="N453" s="12"/>
      <c r="O453"/>
      <c r="P453" s="3">
        <v>2.13</v>
      </c>
      <c r="Q453" s="3">
        <f t="shared" si="9"/>
        <v>54.101999999999997</v>
      </c>
      <c r="S453" s="3">
        <v>16</v>
      </c>
      <c r="T453" s="3">
        <v>13.625</v>
      </c>
      <c r="U453" s="3">
        <f t="shared" si="10"/>
        <v>2.375</v>
      </c>
      <c r="V453" s="3">
        <f t="shared" si="11"/>
        <v>60.324999999999996</v>
      </c>
    </row>
    <row r="454" spans="1:22" ht="15.6" x14ac:dyDescent="0.3">
      <c r="A454" s="1">
        <v>465</v>
      </c>
      <c r="B454" s="13">
        <v>27.310344827586206</v>
      </c>
      <c r="C454" s="13">
        <v>393.10344827586209</v>
      </c>
      <c r="D454" s="1">
        <v>8</v>
      </c>
      <c r="E454" s="13">
        <v>406.4</v>
      </c>
      <c r="F454" s="3">
        <v>304.79999999999995</v>
      </c>
      <c r="G454" s="13">
        <f t="shared" si="8"/>
        <v>42.036999999999999</v>
      </c>
      <c r="H454" s="13">
        <v>12.7</v>
      </c>
      <c r="I454" s="13">
        <v>0.42418032786885246</v>
      </c>
      <c r="J454" s="7">
        <v>35.051999999999992</v>
      </c>
      <c r="K454" s="13">
        <v>0.22352</v>
      </c>
      <c r="L454" s="10" t="s">
        <v>10</v>
      </c>
      <c r="M454" s="3" t="s">
        <v>20</v>
      </c>
      <c r="N454" s="12"/>
      <c r="O454"/>
      <c r="P454" s="3">
        <v>2.13</v>
      </c>
      <c r="Q454" s="3">
        <f t="shared" si="9"/>
        <v>54.101999999999997</v>
      </c>
      <c r="S454" s="3">
        <v>16</v>
      </c>
      <c r="T454" s="3">
        <v>13.625</v>
      </c>
      <c r="U454" s="3">
        <f t="shared" si="10"/>
        <v>2.375</v>
      </c>
      <c r="V454" s="3">
        <f t="shared" si="11"/>
        <v>60.324999999999996</v>
      </c>
    </row>
    <row r="455" spans="1:22" ht="15.6" x14ac:dyDescent="0.3">
      <c r="A455" s="1">
        <v>466</v>
      </c>
      <c r="B455" s="13">
        <v>28.758620689655171</v>
      </c>
      <c r="C455" s="13">
        <v>393.10344827586209</v>
      </c>
      <c r="D455" s="1">
        <v>8</v>
      </c>
      <c r="E455" s="13">
        <v>406.4</v>
      </c>
      <c r="F455" s="3">
        <v>304.79999999999995</v>
      </c>
      <c r="G455" s="13">
        <f t="shared" si="8"/>
        <v>37.274499999999996</v>
      </c>
      <c r="H455" s="13">
        <v>12.7</v>
      </c>
      <c r="I455" s="13">
        <v>0.59218749999999998</v>
      </c>
      <c r="J455" s="7">
        <v>54.101999999999997</v>
      </c>
      <c r="K455" s="13">
        <v>0.33527999999999997</v>
      </c>
      <c r="L455" s="10" t="s">
        <v>10</v>
      </c>
      <c r="M455" s="3" t="s">
        <v>20</v>
      </c>
      <c r="N455" s="12"/>
      <c r="O455"/>
      <c r="P455" s="3">
        <v>2.13</v>
      </c>
      <c r="Q455" s="3">
        <f t="shared" si="9"/>
        <v>54.101999999999997</v>
      </c>
      <c r="S455" s="3">
        <v>16</v>
      </c>
      <c r="T455" s="3">
        <v>13.625</v>
      </c>
      <c r="U455" s="3">
        <f t="shared" si="10"/>
        <v>2.375</v>
      </c>
      <c r="V455" s="3">
        <f t="shared" si="11"/>
        <v>60.324999999999996</v>
      </c>
    </row>
    <row r="456" spans="1:22" ht="15.6" x14ac:dyDescent="0.3">
      <c r="A456" s="1">
        <v>467</v>
      </c>
      <c r="B456" s="13">
        <v>27.724137931034484</v>
      </c>
      <c r="C456" s="13">
        <v>401.79310344827587</v>
      </c>
      <c r="D456" s="1">
        <v>3</v>
      </c>
      <c r="E456" s="13">
        <v>406.4</v>
      </c>
      <c r="F456" s="3">
        <v>304.79999999999995</v>
      </c>
      <c r="G456" s="13">
        <f t="shared" si="8"/>
        <v>107.86533333333334</v>
      </c>
      <c r="H456" s="13">
        <v>19.05</v>
      </c>
      <c r="I456" s="13">
        <v>0.75</v>
      </c>
      <c r="J456" s="7">
        <v>41.401999999999994</v>
      </c>
      <c r="K456" s="13">
        <v>0.32003999999999999</v>
      </c>
      <c r="L456" s="10" t="s">
        <v>10</v>
      </c>
      <c r="M456" s="3" t="s">
        <v>20</v>
      </c>
      <c r="N456" s="12"/>
      <c r="O456"/>
      <c r="P456" s="3">
        <v>1.38</v>
      </c>
      <c r="Q456" s="3">
        <f t="shared" si="9"/>
        <v>35.051999999999992</v>
      </c>
      <c r="S456" s="3">
        <v>15.25</v>
      </c>
      <c r="T456" s="3">
        <v>13.625</v>
      </c>
      <c r="U456" s="3">
        <f t="shared" si="10"/>
        <v>1.625</v>
      </c>
      <c r="V456" s="3">
        <f t="shared" si="11"/>
        <v>41.274999999999999</v>
      </c>
    </row>
    <row r="457" spans="1:22" ht="15.6" x14ac:dyDescent="0.3">
      <c r="A457" s="1">
        <v>468</v>
      </c>
      <c r="B457" s="13">
        <v>26.689655172413794</v>
      </c>
      <c r="C457" s="13">
        <v>386.06896551724134</v>
      </c>
      <c r="D457" s="1">
        <v>3</v>
      </c>
      <c r="E457" s="13">
        <v>406.4</v>
      </c>
      <c r="F457" s="3">
        <v>408</v>
      </c>
      <c r="G457" s="13">
        <f t="shared" si="8"/>
        <v>105.83333333333333</v>
      </c>
      <c r="H457" s="13">
        <v>12.7</v>
      </c>
      <c r="I457" s="13">
        <v>0.75</v>
      </c>
      <c r="J457" s="7">
        <v>44.449999999999996</v>
      </c>
      <c r="K457" s="13">
        <v>0.36321999999999999</v>
      </c>
      <c r="L457" s="10" t="s">
        <v>10</v>
      </c>
      <c r="M457" s="3" t="s">
        <v>20</v>
      </c>
      <c r="N457" s="12"/>
      <c r="O457"/>
      <c r="P457" s="3">
        <v>2.13</v>
      </c>
      <c r="Q457" s="3">
        <f t="shared" si="9"/>
        <v>54.101999999999997</v>
      </c>
      <c r="S457" s="3">
        <v>16</v>
      </c>
      <c r="T457" s="3">
        <v>13.625</v>
      </c>
      <c r="U457" s="3">
        <f t="shared" si="10"/>
        <v>2.375</v>
      </c>
      <c r="V457" s="3">
        <f t="shared" si="11"/>
        <v>60.324999999999996</v>
      </c>
    </row>
    <row r="458" spans="1:22" ht="15.6" x14ac:dyDescent="0.3">
      <c r="A458" s="1">
        <v>469</v>
      </c>
      <c r="B458" s="13">
        <v>30.413793103448278</v>
      </c>
      <c r="C458" s="13">
        <v>348</v>
      </c>
      <c r="D458" s="1">
        <v>3</v>
      </c>
      <c r="E458" s="13">
        <v>406.4</v>
      </c>
      <c r="F458" s="3">
        <v>204</v>
      </c>
      <c r="G458" s="13">
        <f t="shared" si="8"/>
        <v>112.26799999999999</v>
      </c>
      <c r="H458" s="13">
        <v>32.26</v>
      </c>
      <c r="I458" s="13">
        <v>0.75</v>
      </c>
      <c r="J458" s="7">
        <v>34.798000000000002</v>
      </c>
      <c r="K458" s="13">
        <v>0.34289999999999998</v>
      </c>
      <c r="L458" s="10" t="s">
        <v>10</v>
      </c>
      <c r="M458" s="3" t="s">
        <v>20</v>
      </c>
      <c r="N458" s="12"/>
      <c r="O458"/>
      <c r="P458" s="3">
        <v>1.63</v>
      </c>
      <c r="Q458" s="3">
        <f t="shared" si="9"/>
        <v>41.401999999999994</v>
      </c>
      <c r="S458" s="3">
        <v>8</v>
      </c>
      <c r="T458" s="3">
        <v>6</v>
      </c>
      <c r="U458" s="3">
        <f t="shared" si="10"/>
        <v>2</v>
      </c>
      <c r="V458" s="3">
        <f t="shared" si="11"/>
        <v>50.8</v>
      </c>
    </row>
    <row r="459" spans="1:22" ht="15.6" x14ac:dyDescent="0.3">
      <c r="A459" s="1">
        <v>470</v>
      </c>
      <c r="B459" s="13">
        <v>28.206896551724139</v>
      </c>
      <c r="C459" s="13">
        <v>348</v>
      </c>
      <c r="D459" s="1">
        <v>2</v>
      </c>
      <c r="E459" s="13">
        <v>406.4</v>
      </c>
      <c r="F459" s="3">
        <v>204</v>
      </c>
      <c r="G459" s="13">
        <f t="shared" si="8"/>
        <v>168.40199999999999</v>
      </c>
      <c r="H459" s="13">
        <v>32.26</v>
      </c>
      <c r="I459" s="13">
        <v>0.75</v>
      </c>
      <c r="J459" s="7">
        <v>34.798000000000002</v>
      </c>
      <c r="K459" s="13">
        <v>0.34543999999999997</v>
      </c>
      <c r="L459" s="10" t="s">
        <v>10</v>
      </c>
      <c r="M459" s="3" t="s">
        <v>20</v>
      </c>
      <c r="N459" s="12"/>
      <c r="O459"/>
      <c r="P459" s="3">
        <v>1.75</v>
      </c>
      <c r="Q459" s="3">
        <f t="shared" si="9"/>
        <v>44.449999999999996</v>
      </c>
      <c r="S459" s="3">
        <v>8</v>
      </c>
      <c r="T459" s="3">
        <v>6</v>
      </c>
      <c r="U459" s="3">
        <f t="shared" si="10"/>
        <v>2</v>
      </c>
      <c r="V459" s="3">
        <f t="shared" si="11"/>
        <v>50.8</v>
      </c>
    </row>
    <row r="460" spans="1:22" s="6" customFormat="1" x14ac:dyDescent="0.3">
      <c r="A460" s="1">
        <v>471</v>
      </c>
      <c r="B460" s="13">
        <v>31.517241379310345</v>
      </c>
      <c r="C460" s="13">
        <v>254.06896551724137</v>
      </c>
      <c r="D460" s="1">
        <v>2</v>
      </c>
      <c r="E460" s="13">
        <v>203.2</v>
      </c>
      <c r="F460" s="3">
        <v>406.4</v>
      </c>
      <c r="G460" s="13">
        <f t="shared" si="8"/>
        <v>66.674999999999997</v>
      </c>
      <c r="H460" s="13">
        <v>25.4</v>
      </c>
      <c r="I460" s="13">
        <v>0.23749999999999999</v>
      </c>
      <c r="J460" s="13">
        <v>34.924999999999997</v>
      </c>
      <c r="K460" s="13">
        <v>0.17779999999999999</v>
      </c>
      <c r="L460" s="10" t="s">
        <v>10</v>
      </c>
      <c r="M460" s="3" t="s">
        <v>21</v>
      </c>
      <c r="N460" s="12"/>
      <c r="O460" s="18"/>
    </row>
    <row r="461" spans="1:22" ht="15.6" x14ac:dyDescent="0.3">
      <c r="A461" s="1">
        <v>472</v>
      </c>
      <c r="B461" s="7">
        <v>27.379310344827587</v>
      </c>
      <c r="C461" s="7">
        <v>184.9655172413793</v>
      </c>
      <c r="D461" s="1">
        <v>4</v>
      </c>
      <c r="E461" s="13">
        <v>203.2</v>
      </c>
      <c r="F461" s="3">
        <v>406.4</v>
      </c>
      <c r="G461" s="13">
        <f t="shared" si="8"/>
        <v>33.337499999999999</v>
      </c>
      <c r="H461" s="13">
        <v>19.05</v>
      </c>
      <c r="I461" s="13">
        <v>0.22500000000000001</v>
      </c>
      <c r="J461" s="13">
        <v>34.924999999999997</v>
      </c>
      <c r="K461" s="13">
        <v>0.254</v>
      </c>
      <c r="L461" s="10" t="s">
        <v>10</v>
      </c>
      <c r="M461" s="3" t="s">
        <v>21</v>
      </c>
      <c r="N461" s="12"/>
      <c r="O461" s="11"/>
    </row>
    <row r="462" spans="1:22" ht="15.6" x14ac:dyDescent="0.3">
      <c r="A462" s="1">
        <v>473</v>
      </c>
      <c r="B462" s="7">
        <v>29.793103448275861</v>
      </c>
      <c r="C462" s="7">
        <v>289.65517241379308</v>
      </c>
      <c r="D462" s="1">
        <v>8</v>
      </c>
      <c r="E462" s="13">
        <v>203.2</v>
      </c>
      <c r="F462" s="3">
        <v>406.4</v>
      </c>
      <c r="G462" s="13">
        <f t="shared" si="8"/>
        <v>16.668749999999999</v>
      </c>
      <c r="H462" s="13">
        <v>12.7</v>
      </c>
      <c r="I462" s="13">
        <v>0.3</v>
      </c>
      <c r="J462" s="13">
        <v>34.924999999999997</v>
      </c>
      <c r="K462" s="13">
        <v>0.17779999999999999</v>
      </c>
      <c r="L462" s="10" t="s">
        <v>10</v>
      </c>
      <c r="M462" s="3" t="s">
        <v>21</v>
      </c>
      <c r="N462" s="12"/>
      <c r="O462" s="11"/>
    </row>
    <row r="463" spans="1:22" ht="15.6" x14ac:dyDescent="0.3">
      <c r="A463" s="1">
        <v>474</v>
      </c>
      <c r="B463" s="7">
        <v>26.482758620689655</v>
      </c>
      <c r="C463" s="7">
        <v>227.58620689655172</v>
      </c>
      <c r="D463" s="1">
        <v>15</v>
      </c>
      <c r="E463" s="13">
        <v>203.2</v>
      </c>
      <c r="F463" s="3">
        <v>406.4</v>
      </c>
      <c r="G463" s="13">
        <f t="shared" si="8"/>
        <v>8.8899999999999988</v>
      </c>
      <c r="H463" s="13">
        <v>9.5250000000000004</v>
      </c>
      <c r="I463" s="13">
        <v>0.36249999999999999</v>
      </c>
      <c r="J463" s="13">
        <v>34.924999999999997</v>
      </c>
      <c r="K463" s="13">
        <v>0.127</v>
      </c>
      <c r="L463" s="10" t="s">
        <v>10</v>
      </c>
      <c r="M463" s="3" t="s">
        <v>21</v>
      </c>
      <c r="N463" s="12"/>
      <c r="O463" s="11"/>
      <c r="R463" s="3">
        <f>Q462*100</f>
        <v>0</v>
      </c>
    </row>
    <row r="464" spans="1:22" ht="15.6" x14ac:dyDescent="0.3">
      <c r="A464" s="1">
        <v>475</v>
      </c>
      <c r="B464" s="7">
        <v>26.586206896551722</v>
      </c>
      <c r="C464" s="7">
        <v>279.31034482758622</v>
      </c>
      <c r="D464" s="1">
        <v>4</v>
      </c>
      <c r="E464" s="13">
        <v>203.2</v>
      </c>
      <c r="F464" s="3">
        <v>406.4</v>
      </c>
      <c r="G464" s="13">
        <f t="shared" si="8"/>
        <v>33.337499999999999</v>
      </c>
      <c r="H464" s="13">
        <v>19.05</v>
      </c>
      <c r="I464" s="13">
        <v>0.22500000000000001</v>
      </c>
      <c r="J464" s="13">
        <v>34.924999999999997</v>
      </c>
      <c r="K464" s="13">
        <v>0.22859999999999997</v>
      </c>
      <c r="L464" s="10" t="s">
        <v>10</v>
      </c>
      <c r="M464" s="3" t="s">
        <v>21</v>
      </c>
      <c r="N464" s="12"/>
      <c r="O464" s="11"/>
    </row>
    <row r="465" spans="1:15" ht="15.6" x14ac:dyDescent="0.3">
      <c r="A465" s="1">
        <v>476</v>
      </c>
      <c r="B465" s="7">
        <v>24.310344827586206</v>
      </c>
      <c r="C465" s="7">
        <v>279.31034482758622</v>
      </c>
      <c r="D465" s="1">
        <v>2</v>
      </c>
      <c r="E465" s="13">
        <v>203.2</v>
      </c>
      <c r="F465" s="3">
        <v>406.4</v>
      </c>
      <c r="G465" s="13">
        <f t="shared" si="8"/>
        <v>66.674999999999997</v>
      </c>
      <c r="H465" s="13">
        <v>25.4</v>
      </c>
      <c r="I465" s="13">
        <v>0.30312499999999998</v>
      </c>
      <c r="J465" s="13">
        <v>34.924999999999997</v>
      </c>
      <c r="K465" s="13">
        <v>3.1749999999999998</v>
      </c>
      <c r="L465" s="10" t="s">
        <v>10</v>
      </c>
      <c r="M465" s="3" t="s">
        <v>21</v>
      </c>
      <c r="N465" s="12"/>
      <c r="O465" s="11"/>
    </row>
    <row r="466" spans="1:15" ht="15.6" x14ac:dyDescent="0.3">
      <c r="A466" s="1">
        <v>477</v>
      </c>
      <c r="B466" s="7">
        <v>22.413793103448278</v>
      </c>
      <c r="C466" s="7">
        <v>314.48275862068965</v>
      </c>
      <c r="D466" s="1">
        <v>8</v>
      </c>
      <c r="E466" s="13">
        <v>203.2</v>
      </c>
      <c r="F466" s="3">
        <v>406.4</v>
      </c>
      <c r="G466" s="13">
        <f t="shared" si="8"/>
        <v>16.668749999999999</v>
      </c>
      <c r="H466" s="13">
        <v>12.7</v>
      </c>
      <c r="I466" s="13">
        <v>0.23749999999999999</v>
      </c>
      <c r="J466" s="13">
        <v>34.924999999999997</v>
      </c>
      <c r="K466" s="13">
        <v>0.15240000000000001</v>
      </c>
      <c r="L466" s="10" t="s">
        <v>10</v>
      </c>
      <c r="M466" s="3" t="s">
        <v>21</v>
      </c>
      <c r="N466" s="12"/>
      <c r="O466" s="11"/>
    </row>
    <row r="467" spans="1:15" ht="15.6" x14ac:dyDescent="0.3">
      <c r="A467" s="1">
        <v>478</v>
      </c>
      <c r="B467" s="7">
        <v>32.758620689655174</v>
      </c>
      <c r="C467" s="7">
        <v>356.27586206896547</v>
      </c>
      <c r="D467" s="1">
        <v>1</v>
      </c>
      <c r="E467" s="13">
        <v>203.2</v>
      </c>
      <c r="F467" s="3">
        <v>406.4</v>
      </c>
      <c r="G467" s="13">
        <f t="shared" si="8"/>
        <v>133.35</v>
      </c>
      <c r="H467" s="13">
        <v>25.4</v>
      </c>
      <c r="I467" s="13">
        <v>0.22500000000000001</v>
      </c>
      <c r="J467" s="13">
        <v>34.924999999999997</v>
      </c>
      <c r="K467" s="13">
        <v>0.21590000000000001</v>
      </c>
      <c r="L467" s="10" t="s">
        <v>10</v>
      </c>
      <c r="M467" s="3" t="s">
        <v>21</v>
      </c>
      <c r="N467" s="12"/>
      <c r="O467" s="11"/>
    </row>
    <row r="468" spans="1:15" ht="15.6" x14ac:dyDescent="0.3">
      <c r="A468" s="1">
        <v>479</v>
      </c>
      <c r="B468" s="7">
        <v>27.172413793103448</v>
      </c>
      <c r="C468" s="7">
        <v>357.51724137931029</v>
      </c>
      <c r="D468" s="1">
        <v>2</v>
      </c>
      <c r="E468" s="13">
        <v>203.2</v>
      </c>
      <c r="F468" s="3">
        <v>406.4</v>
      </c>
      <c r="G468" s="13">
        <f t="shared" si="8"/>
        <v>66.674999999999997</v>
      </c>
      <c r="H468" s="13">
        <v>19.05</v>
      </c>
      <c r="I468" s="13">
        <v>0.3</v>
      </c>
      <c r="J468" s="13">
        <v>34.924999999999997</v>
      </c>
      <c r="K468" s="13">
        <v>0.15240000000000001</v>
      </c>
      <c r="L468" s="10" t="s">
        <v>10</v>
      </c>
      <c r="M468" s="3" t="s">
        <v>21</v>
      </c>
      <c r="N468" s="12"/>
      <c r="O468" s="11"/>
    </row>
    <row r="469" spans="1:15" ht="15.6" x14ac:dyDescent="0.3">
      <c r="A469" s="1">
        <v>480</v>
      </c>
      <c r="B469" s="7">
        <v>27.655172413793103</v>
      </c>
      <c r="C469" s="7">
        <v>364.13793103448273</v>
      </c>
      <c r="D469" s="1">
        <v>4</v>
      </c>
      <c r="E469" s="13">
        <v>203.2</v>
      </c>
      <c r="F469" s="3">
        <v>406.4</v>
      </c>
      <c r="G469" s="13">
        <f t="shared" si="8"/>
        <v>33.337499999999999</v>
      </c>
      <c r="H469" s="13">
        <v>12.7</v>
      </c>
      <c r="I469" s="13">
        <v>0.36249999999999999</v>
      </c>
      <c r="J469" s="13">
        <v>34.924999999999997</v>
      </c>
      <c r="K469" s="13">
        <v>0.17779999999999999</v>
      </c>
      <c r="L469" s="10" t="s">
        <v>10</v>
      </c>
      <c r="M469" s="3" t="s">
        <v>21</v>
      </c>
      <c r="N469" s="12"/>
      <c r="O469" s="11"/>
    </row>
    <row r="470" spans="1:15" ht="15.6" x14ac:dyDescent="0.3">
      <c r="A470" s="1">
        <v>481</v>
      </c>
      <c r="B470" s="7">
        <v>25.517241379310345</v>
      </c>
      <c r="C470" s="7">
        <v>356.27586206896547</v>
      </c>
      <c r="D470" s="1">
        <v>4</v>
      </c>
      <c r="E470" s="13">
        <v>203.2</v>
      </c>
      <c r="F470" s="3">
        <v>406.4</v>
      </c>
      <c r="G470" s="13">
        <f t="shared" si="8"/>
        <v>33.337499999999999</v>
      </c>
      <c r="H470" s="13">
        <v>25.4</v>
      </c>
      <c r="I470" s="13">
        <v>0.36249999999999999</v>
      </c>
      <c r="J470" s="13">
        <v>34.924999999999997</v>
      </c>
      <c r="K470" s="13">
        <v>0.22859999999999997</v>
      </c>
      <c r="L470" s="10" t="s">
        <v>10</v>
      </c>
      <c r="M470" s="3" t="s">
        <v>21</v>
      </c>
      <c r="N470" s="12"/>
      <c r="O470" s="11"/>
    </row>
    <row r="471" spans="1:15" ht="15.6" x14ac:dyDescent="0.3">
      <c r="A471" s="1">
        <v>482</v>
      </c>
      <c r="B471" s="7">
        <v>30.827586206896552</v>
      </c>
      <c r="C471" s="7">
        <v>357.51724137931029</v>
      </c>
      <c r="D471" s="1">
        <v>8</v>
      </c>
      <c r="E471" s="13">
        <v>203.2</v>
      </c>
      <c r="F471" s="3">
        <v>406.4</v>
      </c>
      <c r="G471" s="13">
        <f t="shared" si="8"/>
        <v>16.668749999999999</v>
      </c>
      <c r="H471" s="13">
        <v>19.05</v>
      </c>
      <c r="I471" s="13">
        <v>0.32500000000000001</v>
      </c>
      <c r="J471" s="13">
        <v>34.924999999999997</v>
      </c>
      <c r="K471" s="13">
        <v>0.17779999999999999</v>
      </c>
      <c r="L471" s="10" t="s">
        <v>10</v>
      </c>
      <c r="M471" s="3" t="s">
        <v>21</v>
      </c>
      <c r="N471" s="12"/>
      <c r="O471" s="11"/>
    </row>
    <row r="472" spans="1:15" ht="15.6" x14ac:dyDescent="0.3">
      <c r="A472" s="1">
        <v>483</v>
      </c>
      <c r="B472" s="7">
        <v>48.551724137931032</v>
      </c>
      <c r="C472" s="7">
        <v>356.27586206896547</v>
      </c>
      <c r="D472" s="1">
        <v>2</v>
      </c>
      <c r="E472" s="13">
        <v>203.2</v>
      </c>
      <c r="F472" s="3">
        <v>406.4</v>
      </c>
      <c r="G472" s="13">
        <f t="shared" si="8"/>
        <v>66.674999999999997</v>
      </c>
      <c r="H472" s="13">
        <v>25.4</v>
      </c>
      <c r="I472" s="13">
        <v>0.23749999999999999</v>
      </c>
      <c r="J472" s="13">
        <v>34.924999999999997</v>
      </c>
      <c r="K472" s="13">
        <v>0.22859999999999997</v>
      </c>
      <c r="L472" s="10" t="s">
        <v>10</v>
      </c>
      <c r="M472" s="3" t="s">
        <v>21</v>
      </c>
      <c r="N472" s="12"/>
      <c r="O472" s="11"/>
    </row>
    <row r="473" spans="1:15" ht="15.6" x14ac:dyDescent="0.3">
      <c r="A473" s="1">
        <v>484</v>
      </c>
      <c r="B473" s="7">
        <v>49.931034482758619</v>
      </c>
      <c r="C473" s="7">
        <v>357.51724137931029</v>
      </c>
      <c r="D473" s="1">
        <v>4</v>
      </c>
      <c r="E473" s="13">
        <v>203.2</v>
      </c>
      <c r="F473" s="3">
        <v>406.4</v>
      </c>
      <c r="G473" s="13">
        <f t="shared" si="8"/>
        <v>33.337499999999999</v>
      </c>
      <c r="H473" s="13">
        <v>19.05</v>
      </c>
      <c r="I473" s="13">
        <v>0.22500000000000001</v>
      </c>
      <c r="J473" s="13">
        <v>34.924999999999997</v>
      </c>
      <c r="K473" s="13">
        <v>0.20319999999999999</v>
      </c>
      <c r="L473" s="10" t="s">
        <v>10</v>
      </c>
      <c r="M473" s="3" t="s">
        <v>21</v>
      </c>
      <c r="N473" s="12"/>
      <c r="O473" s="11"/>
    </row>
    <row r="474" spans="1:15" ht="15.6" x14ac:dyDescent="0.3">
      <c r="A474" s="1">
        <v>485</v>
      </c>
      <c r="B474" s="7">
        <v>48.758620689655174</v>
      </c>
      <c r="C474" s="7">
        <v>364.13793103448273</v>
      </c>
      <c r="D474" s="1">
        <v>8</v>
      </c>
      <c r="E474" s="13">
        <v>203.2</v>
      </c>
      <c r="F474" s="3">
        <v>406.4</v>
      </c>
      <c r="G474" s="13">
        <f t="shared" si="8"/>
        <v>16.668749999999999</v>
      </c>
      <c r="H474" s="13">
        <v>12.7</v>
      </c>
      <c r="I474" s="13">
        <v>0.30312499999999998</v>
      </c>
      <c r="J474" s="13">
        <v>34.924999999999997</v>
      </c>
      <c r="K474" s="13">
        <v>0.17779999999999999</v>
      </c>
      <c r="L474" s="10" t="s">
        <v>10</v>
      </c>
      <c r="M474" s="3" t="s">
        <v>21</v>
      </c>
      <c r="N474" s="12"/>
      <c r="O474" s="11"/>
    </row>
    <row r="475" spans="1:15" ht="15.6" x14ac:dyDescent="0.3">
      <c r="A475" s="1">
        <v>486</v>
      </c>
      <c r="B475" s="7">
        <v>46.793103448275865</v>
      </c>
      <c r="C475" s="7">
        <v>227.58620689655172</v>
      </c>
      <c r="D475" s="1">
        <v>15</v>
      </c>
      <c r="E475" s="13">
        <v>203.2</v>
      </c>
      <c r="F475" s="3">
        <v>406.4</v>
      </c>
      <c r="G475" s="13">
        <f t="shared" si="8"/>
        <v>8.8899999999999988</v>
      </c>
      <c r="H475" s="13">
        <v>9.5250000000000004</v>
      </c>
      <c r="I475" s="13">
        <v>0.36249999999999999</v>
      </c>
      <c r="J475" s="13">
        <v>34.924999999999997</v>
      </c>
      <c r="K475" s="13">
        <v>0.1651</v>
      </c>
      <c r="L475" s="10" t="s">
        <v>10</v>
      </c>
      <c r="M475" s="3" t="s">
        <v>21</v>
      </c>
      <c r="N475" s="12"/>
      <c r="O475" s="11"/>
    </row>
    <row r="476" spans="1:15" ht="15.6" x14ac:dyDescent="0.3">
      <c r="A476" s="1">
        <v>487</v>
      </c>
      <c r="B476" s="7">
        <v>31.379310344827587</v>
      </c>
      <c r="C476" s="7">
        <v>417.93103448275861</v>
      </c>
      <c r="D476" s="1">
        <v>2</v>
      </c>
      <c r="E476" s="13">
        <v>203.2</v>
      </c>
      <c r="F476" s="3">
        <v>406.4</v>
      </c>
      <c r="G476" s="13">
        <f t="shared" si="8"/>
        <v>66.674999999999997</v>
      </c>
      <c r="H476" s="13">
        <v>25.4</v>
      </c>
      <c r="I476" s="13">
        <v>0.23749999999999999</v>
      </c>
      <c r="J476" s="13">
        <v>34.924999999999997</v>
      </c>
      <c r="K476" s="13">
        <v>0</v>
      </c>
      <c r="L476" s="10" t="s">
        <v>10</v>
      </c>
      <c r="M476" s="3" t="s">
        <v>21</v>
      </c>
      <c r="N476" s="12"/>
      <c r="O476" s="11"/>
    </row>
    <row r="477" spans="1:15" ht="15.6" x14ac:dyDescent="0.3">
      <c r="A477" s="1">
        <v>488</v>
      </c>
      <c r="B477" s="7">
        <v>32.068965517241381</v>
      </c>
      <c r="C477" s="7">
        <v>459.31034482758622</v>
      </c>
      <c r="D477" s="1">
        <v>4</v>
      </c>
      <c r="E477" s="13">
        <v>203.2</v>
      </c>
      <c r="F477" s="3">
        <v>406.4</v>
      </c>
      <c r="G477" s="13">
        <f t="shared" si="8"/>
        <v>33.337499999999999</v>
      </c>
      <c r="H477" s="13">
        <v>19.05</v>
      </c>
      <c r="I477" s="13">
        <v>0.22500000000000001</v>
      </c>
      <c r="J477" s="13">
        <v>34.924999999999997</v>
      </c>
      <c r="K477" s="13">
        <v>0</v>
      </c>
      <c r="L477" s="10" t="s">
        <v>10</v>
      </c>
      <c r="M477" s="3" t="s">
        <v>21</v>
      </c>
      <c r="N477" s="12"/>
      <c r="O477" s="11"/>
    </row>
    <row r="478" spans="1:15" ht="15.6" x14ac:dyDescent="0.3">
      <c r="A478" s="1">
        <v>489</v>
      </c>
      <c r="B478" s="7">
        <v>34.482758620689658</v>
      </c>
      <c r="C478" s="7">
        <v>413.79310344827587</v>
      </c>
      <c r="D478" s="1">
        <v>8</v>
      </c>
      <c r="E478" s="13">
        <v>203.2</v>
      </c>
      <c r="F478" s="3">
        <v>406.4</v>
      </c>
      <c r="G478" s="13">
        <f t="shared" si="8"/>
        <v>16.668749999999999</v>
      </c>
      <c r="H478" s="13">
        <v>12.7</v>
      </c>
      <c r="I478" s="13">
        <v>0.3</v>
      </c>
      <c r="J478" s="13">
        <v>34.924999999999997</v>
      </c>
      <c r="K478" s="13">
        <v>0</v>
      </c>
      <c r="L478" s="10" t="s">
        <v>10</v>
      </c>
      <c r="M478" s="3" t="s">
        <v>21</v>
      </c>
      <c r="N478" s="12"/>
      <c r="O478" s="11"/>
    </row>
    <row r="479" spans="1:15" ht="15.6" x14ac:dyDescent="0.3">
      <c r="A479" s="1">
        <v>490</v>
      </c>
      <c r="B479" s="7">
        <v>32.068965517241381</v>
      </c>
      <c r="C479" s="7">
        <v>459.31034482758622</v>
      </c>
      <c r="D479" s="1">
        <v>15</v>
      </c>
      <c r="E479" s="13">
        <v>203.2</v>
      </c>
      <c r="F479" s="3">
        <v>406.4</v>
      </c>
      <c r="G479" s="13">
        <f t="shared" si="8"/>
        <v>8.8899999999999988</v>
      </c>
      <c r="H479" s="13">
        <v>9.5250000000000004</v>
      </c>
      <c r="I479" s="13">
        <v>0.36249999999999999</v>
      </c>
      <c r="J479" s="13">
        <v>34.924999999999997</v>
      </c>
      <c r="K479" s="13">
        <v>0</v>
      </c>
      <c r="L479" s="10" t="s">
        <v>10</v>
      </c>
      <c r="M479" s="3" t="s">
        <v>21</v>
      </c>
      <c r="N479" s="12"/>
      <c r="O479" s="11"/>
    </row>
    <row r="480" spans="1:15" ht="15.6" x14ac:dyDescent="0.3">
      <c r="A480" s="1">
        <v>491</v>
      </c>
      <c r="B480" s="7">
        <v>32.620689655172413</v>
      </c>
      <c r="C480" s="7">
        <v>364.13793103448273</v>
      </c>
      <c r="D480" s="1">
        <v>12</v>
      </c>
      <c r="E480" s="13">
        <v>304.79999999999995</v>
      </c>
      <c r="F480" s="3">
        <v>406.4</v>
      </c>
      <c r="G480" s="13">
        <f t="shared" si="8"/>
        <v>22.224999999999994</v>
      </c>
      <c r="H480" s="13">
        <v>12.7</v>
      </c>
      <c r="I480" s="13">
        <v>0.3</v>
      </c>
      <c r="J480" s="13">
        <v>19.049999999999997</v>
      </c>
      <c r="K480" s="13">
        <v>0.22859999999999997</v>
      </c>
      <c r="L480" s="10" t="s">
        <v>10</v>
      </c>
      <c r="M480" s="3" t="s">
        <v>21</v>
      </c>
      <c r="N480" s="12"/>
      <c r="O480" s="11"/>
    </row>
    <row r="481" spans="1:15" ht="15.6" x14ac:dyDescent="0.3">
      <c r="A481" s="1">
        <v>492</v>
      </c>
      <c r="B481" s="7">
        <v>30.96551724137931</v>
      </c>
      <c r="C481" s="7">
        <v>364.13793103448273</v>
      </c>
      <c r="D481" s="1">
        <v>8</v>
      </c>
      <c r="E481" s="13">
        <v>203.2</v>
      </c>
      <c r="F481" s="3">
        <v>406.4</v>
      </c>
      <c r="G481" s="13">
        <f t="shared" si="8"/>
        <v>20.637499999999999</v>
      </c>
      <c r="H481" s="13">
        <v>12.7</v>
      </c>
      <c r="I481" s="13">
        <v>0.3</v>
      </c>
      <c r="J481" s="13">
        <v>19.049999999999997</v>
      </c>
      <c r="K481" s="13">
        <v>0.127</v>
      </c>
      <c r="L481" s="10" t="s">
        <v>10</v>
      </c>
      <c r="M481" s="3" t="s">
        <v>21</v>
      </c>
      <c r="N481" s="12"/>
      <c r="O481" s="11"/>
    </row>
    <row r="482" spans="1:15" ht="15.6" x14ac:dyDescent="0.3">
      <c r="A482" s="1">
        <v>493</v>
      </c>
      <c r="B482" s="7">
        <v>30.551724137931036</v>
      </c>
      <c r="C482" s="7">
        <v>364.13793103448273</v>
      </c>
      <c r="D482" s="1">
        <v>6</v>
      </c>
      <c r="E482" s="13">
        <v>152.39999999999998</v>
      </c>
      <c r="F482" s="3">
        <v>406.4</v>
      </c>
      <c r="G482" s="13">
        <f t="shared" si="8"/>
        <v>19.049999999999997</v>
      </c>
      <c r="H482" s="13">
        <v>12.7</v>
      </c>
      <c r="I482" s="13">
        <v>0.3</v>
      </c>
      <c r="J482" s="13">
        <v>19.049999999999997</v>
      </c>
      <c r="K482" s="13">
        <v>0.20319999999999999</v>
      </c>
      <c r="L482" s="10" t="s">
        <v>10</v>
      </c>
      <c r="M482" s="3" t="s">
        <v>21</v>
      </c>
      <c r="N482" s="12"/>
      <c r="O482" s="11"/>
    </row>
    <row r="483" spans="1:15" ht="15.6" x14ac:dyDescent="0.3">
      <c r="A483" s="1">
        <v>494</v>
      </c>
      <c r="B483" s="7">
        <v>40.482758620689658</v>
      </c>
      <c r="C483" s="7">
        <v>364.13793103448273</v>
      </c>
      <c r="D483" s="1">
        <v>4</v>
      </c>
      <c r="E483" s="13">
        <v>101.6</v>
      </c>
      <c r="F483" s="3">
        <v>406.4</v>
      </c>
      <c r="G483" s="13">
        <f t="shared" si="8"/>
        <v>15.875</v>
      </c>
      <c r="H483" s="13">
        <v>12.7</v>
      </c>
      <c r="I483" s="13">
        <v>0.3</v>
      </c>
      <c r="J483" s="13">
        <v>19.049999999999997</v>
      </c>
      <c r="K483" s="13">
        <v>0.1651</v>
      </c>
      <c r="L483" s="10" t="s">
        <v>10</v>
      </c>
      <c r="M483" s="3" t="s">
        <v>21</v>
      </c>
      <c r="N483" s="12"/>
      <c r="O483" s="11"/>
    </row>
    <row r="484" spans="1:15" ht="15.6" x14ac:dyDescent="0.3">
      <c r="A484" s="1">
        <v>495</v>
      </c>
      <c r="B484" s="7">
        <v>29.793103448275861</v>
      </c>
      <c r="C484" s="7">
        <v>357.51724137931029</v>
      </c>
      <c r="D484" s="1">
        <v>6</v>
      </c>
      <c r="E484" s="13">
        <v>203.2</v>
      </c>
      <c r="F484" s="3">
        <v>609.6</v>
      </c>
      <c r="G484" s="13">
        <f t="shared" si="8"/>
        <v>22.224999999999998</v>
      </c>
      <c r="H484" s="13">
        <v>19.05</v>
      </c>
      <c r="I484" s="13">
        <v>0.21666666666666667</v>
      </c>
      <c r="J484" s="13">
        <v>34.924999999999997</v>
      </c>
      <c r="K484" s="13">
        <v>0.22859999999999997</v>
      </c>
      <c r="L484" s="10" t="s">
        <v>10</v>
      </c>
      <c r="M484" s="3" t="s">
        <v>21</v>
      </c>
      <c r="N484" s="12"/>
      <c r="O484" s="11"/>
    </row>
    <row r="485" spans="1:15" ht="15.6" x14ac:dyDescent="0.3">
      <c r="A485" s="1">
        <v>496</v>
      </c>
      <c r="B485" s="7">
        <v>30.758620689655171</v>
      </c>
      <c r="C485" s="7">
        <v>357.51724137931029</v>
      </c>
      <c r="D485" s="1">
        <v>4</v>
      </c>
      <c r="E485" s="13">
        <v>203.2</v>
      </c>
      <c r="F485" s="3">
        <v>406.4</v>
      </c>
      <c r="G485" s="13">
        <f t="shared" si="8"/>
        <v>33.324799999999996</v>
      </c>
      <c r="H485" s="13">
        <v>19.05</v>
      </c>
      <c r="I485" s="13">
        <v>0.22500000000000001</v>
      </c>
      <c r="J485" s="13">
        <v>34.950399999999995</v>
      </c>
      <c r="K485" s="13">
        <v>0.21590000000000001</v>
      </c>
      <c r="L485" s="10" t="s">
        <v>10</v>
      </c>
      <c r="M485" s="3" t="s">
        <v>21</v>
      </c>
      <c r="N485" s="12"/>
      <c r="O485" s="11"/>
    </row>
    <row r="486" spans="1:15" ht="15.6" x14ac:dyDescent="0.3">
      <c r="A486" s="1">
        <v>497</v>
      </c>
      <c r="B486" s="7">
        <v>30.551724137931036</v>
      </c>
      <c r="C486" s="7">
        <v>357.51724137931029</v>
      </c>
      <c r="D486" s="1">
        <v>3</v>
      </c>
      <c r="E486" s="13">
        <v>203.2</v>
      </c>
      <c r="F486" s="3">
        <v>304.8</v>
      </c>
      <c r="G486" s="13">
        <f t="shared" si="8"/>
        <v>44.416133333333335</v>
      </c>
      <c r="H486" s="13">
        <v>19.05</v>
      </c>
      <c r="I486" s="13">
        <v>0.3</v>
      </c>
      <c r="J486" s="13">
        <v>34.9758</v>
      </c>
      <c r="K486" s="13">
        <v>0.15240000000000001</v>
      </c>
      <c r="L486" s="10" t="s">
        <v>10</v>
      </c>
      <c r="M486" s="3" t="s">
        <v>21</v>
      </c>
      <c r="N486" s="12"/>
      <c r="O486" s="11"/>
    </row>
    <row r="487" spans="1:15" ht="15.6" x14ac:dyDescent="0.3">
      <c r="A487" s="1">
        <v>498</v>
      </c>
      <c r="B487" s="7">
        <v>28.344827586206897</v>
      </c>
      <c r="C487" s="7">
        <v>357.51724137931029</v>
      </c>
      <c r="D487" s="1">
        <v>2</v>
      </c>
      <c r="E487" s="13">
        <v>203.2</v>
      </c>
      <c r="F487" s="3">
        <v>203.2</v>
      </c>
      <c r="G487" s="13">
        <f t="shared" si="8"/>
        <v>66.598799999999997</v>
      </c>
      <c r="H487" s="13">
        <v>19.05</v>
      </c>
      <c r="I487" s="13">
        <v>0.45</v>
      </c>
      <c r="J487" s="13">
        <v>35.001199999999997</v>
      </c>
      <c r="K487" s="13">
        <v>0.13969999999999999</v>
      </c>
      <c r="L487" s="10" t="s">
        <v>10</v>
      </c>
      <c r="M487" s="3" t="s">
        <v>21</v>
      </c>
      <c r="N487" s="12"/>
      <c r="O487" s="11"/>
    </row>
    <row r="488" spans="1:15" ht="15.6" x14ac:dyDescent="0.3">
      <c r="A488" s="1">
        <v>499</v>
      </c>
      <c r="B488" s="7">
        <v>27.793103448275861</v>
      </c>
      <c r="C488" s="7">
        <v>344.68965517241378</v>
      </c>
      <c r="D488" s="1">
        <v>2</v>
      </c>
      <c r="E488" s="13">
        <v>203.2</v>
      </c>
      <c r="F488" s="3">
        <v>406.4</v>
      </c>
      <c r="G488" s="13">
        <f t="shared" si="8"/>
        <v>66.573399999999992</v>
      </c>
      <c r="H488" s="13">
        <v>22.25</v>
      </c>
      <c r="I488" s="13">
        <v>0.1</v>
      </c>
      <c r="J488" s="13">
        <v>35.026599999999995</v>
      </c>
      <c r="K488" s="13">
        <v>0.1651</v>
      </c>
      <c r="L488" s="10" t="s">
        <v>10</v>
      </c>
      <c r="M488" s="3" t="s">
        <v>21</v>
      </c>
      <c r="N488" s="12"/>
      <c r="O488" s="11"/>
    </row>
    <row r="489" spans="1:15" ht="15.6" x14ac:dyDescent="0.3">
      <c r="A489" s="1">
        <v>500</v>
      </c>
      <c r="B489" s="7">
        <v>20.96551724137931</v>
      </c>
      <c r="C489" s="7">
        <v>344.68965517241378</v>
      </c>
      <c r="D489" s="1">
        <v>2</v>
      </c>
      <c r="E489" s="13">
        <v>203.2</v>
      </c>
      <c r="F489" s="3">
        <v>406.4</v>
      </c>
      <c r="G489" s="13">
        <f t="shared" si="8"/>
        <v>66.548000000000002</v>
      </c>
      <c r="H489" s="13">
        <v>22.25</v>
      </c>
      <c r="I489" s="13">
        <v>0.22500000000000001</v>
      </c>
      <c r="J489" s="13">
        <v>35.051999999999992</v>
      </c>
      <c r="K489" s="13">
        <v>0.1651</v>
      </c>
      <c r="L489" s="10" t="s">
        <v>10</v>
      </c>
      <c r="M489" s="3" t="s">
        <v>21</v>
      </c>
      <c r="N489" s="12"/>
      <c r="O489" s="11"/>
    </row>
    <row r="490" spans="1:15" ht="15.6" x14ac:dyDescent="0.3">
      <c r="A490" s="1">
        <v>501</v>
      </c>
      <c r="B490" s="7">
        <v>25.103448275862068</v>
      </c>
      <c r="C490" s="7">
        <v>344.68965517241378</v>
      </c>
      <c r="D490" s="1">
        <v>2</v>
      </c>
      <c r="E490" s="13">
        <v>203.2</v>
      </c>
      <c r="F490" s="3">
        <v>406.4</v>
      </c>
      <c r="G490" s="13">
        <f t="shared" si="8"/>
        <v>66.522599999999997</v>
      </c>
      <c r="H490" s="13">
        <v>22.25</v>
      </c>
      <c r="I490" s="13">
        <v>0.41249999999999998</v>
      </c>
      <c r="J490" s="13">
        <v>35.077399999999997</v>
      </c>
      <c r="K490" s="13">
        <v>0.254</v>
      </c>
      <c r="L490" s="10" t="s">
        <v>10</v>
      </c>
      <c r="M490" s="3" t="s">
        <v>21</v>
      </c>
      <c r="N490" s="12"/>
      <c r="O490" s="11"/>
    </row>
    <row r="491" spans="1:15" ht="15.6" x14ac:dyDescent="0.3">
      <c r="A491" s="1">
        <v>502</v>
      </c>
      <c r="B491" s="7">
        <v>25.103448275862068</v>
      </c>
      <c r="C491" s="7">
        <v>344.68965517241378</v>
      </c>
      <c r="D491" s="1">
        <v>2</v>
      </c>
      <c r="E491" s="13">
        <v>203.2</v>
      </c>
      <c r="F491" s="3">
        <v>406.4</v>
      </c>
      <c r="G491" s="13">
        <f t="shared" si="8"/>
        <v>66.497199999999992</v>
      </c>
      <c r="H491" s="13">
        <v>22.25</v>
      </c>
      <c r="I491" s="13">
        <v>0.6</v>
      </c>
      <c r="J491" s="13">
        <v>35.102799999999995</v>
      </c>
      <c r="K491" s="13">
        <v>0.20319999999999999</v>
      </c>
      <c r="L491" s="10" t="s">
        <v>10</v>
      </c>
      <c r="M491" s="3" t="s">
        <v>21</v>
      </c>
      <c r="N491" s="12"/>
      <c r="O491" s="11"/>
    </row>
    <row r="492" spans="1:15" ht="15.6" x14ac:dyDescent="0.3">
      <c r="A492" s="1">
        <v>503</v>
      </c>
      <c r="B492" s="7">
        <v>30.068965517241381</v>
      </c>
      <c r="C492" s="7">
        <v>351.72413793103448</v>
      </c>
      <c r="D492" s="1">
        <v>2</v>
      </c>
      <c r="E492" s="13">
        <v>203.2</v>
      </c>
      <c r="F492" s="3">
        <v>406.4</v>
      </c>
      <c r="G492" s="13">
        <f t="shared" si="8"/>
        <v>92.074999999999989</v>
      </c>
      <c r="H492" s="13">
        <v>22.25</v>
      </c>
      <c r="I492" s="13">
        <v>0.22500000000000001</v>
      </c>
      <c r="J492" s="13">
        <v>9.5249999999999986</v>
      </c>
      <c r="K492" s="13">
        <v>0.15240000000000001</v>
      </c>
      <c r="L492" s="10" t="s">
        <v>10</v>
      </c>
      <c r="M492" s="3" t="s">
        <v>21</v>
      </c>
      <c r="N492" s="12"/>
      <c r="O492" s="11"/>
    </row>
    <row r="493" spans="1:15" ht="15.6" x14ac:dyDescent="0.3">
      <c r="A493" s="1">
        <v>504</v>
      </c>
      <c r="B493" s="7">
        <v>30.068965517241381</v>
      </c>
      <c r="C493" s="7">
        <v>351.72413793103448</v>
      </c>
      <c r="D493" s="1">
        <v>2</v>
      </c>
      <c r="E493" s="13">
        <v>203.2</v>
      </c>
      <c r="F493" s="3">
        <v>406.4</v>
      </c>
      <c r="G493" s="13">
        <f t="shared" si="8"/>
        <v>28.575000000000003</v>
      </c>
      <c r="H493" s="13">
        <v>22.25</v>
      </c>
      <c r="I493" s="13">
        <v>0.22500000000000001</v>
      </c>
      <c r="J493" s="13">
        <v>73.024999999999991</v>
      </c>
      <c r="K493" s="13">
        <v>0.27939999999999998</v>
      </c>
      <c r="L493" s="10" t="s">
        <v>10</v>
      </c>
      <c r="M493" s="3" t="s">
        <v>21</v>
      </c>
      <c r="N493" s="12"/>
      <c r="O493" s="11"/>
    </row>
    <row r="494" spans="1:15" ht="15.6" x14ac:dyDescent="0.3">
      <c r="A494" s="1">
        <v>505</v>
      </c>
      <c r="B494" s="7">
        <v>27.172413793103448</v>
      </c>
      <c r="C494" s="7">
        <v>362.48275862068965</v>
      </c>
      <c r="D494" s="1">
        <v>2</v>
      </c>
      <c r="E494" s="13">
        <v>203.2</v>
      </c>
      <c r="F494" s="3">
        <v>406.4</v>
      </c>
      <c r="G494" s="13">
        <f t="shared" si="8"/>
        <v>92.074999999999989</v>
      </c>
      <c r="H494" s="13">
        <v>22.25</v>
      </c>
      <c r="I494" s="13">
        <v>0.1125</v>
      </c>
      <c r="J494" s="13">
        <v>9.5249999999999986</v>
      </c>
      <c r="K494" s="13">
        <v>0.127</v>
      </c>
      <c r="L494" s="10" t="s">
        <v>10</v>
      </c>
      <c r="M494" s="3" t="s">
        <v>21</v>
      </c>
      <c r="N494" s="12"/>
      <c r="O494" s="11"/>
    </row>
    <row r="495" spans="1:15" ht="15.6" x14ac:dyDescent="0.3">
      <c r="A495" s="1">
        <v>506</v>
      </c>
      <c r="B495" s="7">
        <v>27.172413793103448</v>
      </c>
      <c r="C495" s="7">
        <v>345.93103448275861</v>
      </c>
      <c r="D495" s="1">
        <v>2</v>
      </c>
      <c r="E495" s="13">
        <v>203.2</v>
      </c>
      <c r="F495" s="3">
        <v>406.4</v>
      </c>
      <c r="G495" s="13">
        <f t="shared" si="8"/>
        <v>28.575000000000003</v>
      </c>
      <c r="H495" s="13">
        <v>9.5250000000000004</v>
      </c>
      <c r="I495" s="13">
        <v>0.41249999999999998</v>
      </c>
      <c r="J495" s="13">
        <v>73.024999999999991</v>
      </c>
      <c r="K495" s="13">
        <v>0.27939999999999998</v>
      </c>
      <c r="L495" s="10" t="s">
        <v>10</v>
      </c>
      <c r="M495" s="3" t="s">
        <v>21</v>
      </c>
      <c r="N495" s="12"/>
      <c r="O495" s="11"/>
    </row>
    <row r="496" spans="1:15" x14ac:dyDescent="0.3">
      <c r="A496" s="1"/>
      <c r="L496" s="10"/>
    </row>
  </sheetData>
  <mergeCells count="1">
    <mergeCell ref="P98:Q98"/>
  </mergeCells>
  <phoneticPr fontId="7" type="noConversion"/>
  <conditionalFormatting sqref="K2:K97">
    <cfRule type="cellIs" dxfId="5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DAA5-68A9-4D93-B5C1-2DA7382EFF0B}">
  <dimension ref="A1:V509"/>
  <sheetViews>
    <sheetView zoomScale="68" zoomScaleNormal="92" workbookViewId="0">
      <selection activeCell="J16" sqref="J16"/>
    </sheetView>
  </sheetViews>
  <sheetFormatPr defaultRowHeight="14.4" x14ac:dyDescent="0.3"/>
  <cols>
    <col min="1" max="9" width="8.88671875" style="3"/>
    <col min="10" max="10" width="8.88671875" style="11"/>
    <col min="13" max="14" width="8.88671875" style="3"/>
    <col min="15" max="15" width="16.44140625" style="3" customWidth="1"/>
    <col min="16" max="16384" width="8.88671875" style="3"/>
  </cols>
  <sheetData>
    <row r="1" spans="1:20" s="78" customFormat="1" ht="21" x14ac:dyDescent="0.4">
      <c r="A1" s="73" t="s">
        <v>0</v>
      </c>
      <c r="B1" s="74" t="s">
        <v>1</v>
      </c>
      <c r="C1" s="74" t="s">
        <v>25</v>
      </c>
      <c r="D1" s="73" t="s">
        <v>2</v>
      </c>
      <c r="E1" s="74" t="s">
        <v>3</v>
      </c>
      <c r="F1" s="75" t="s">
        <v>6</v>
      </c>
      <c r="G1" s="75" t="s">
        <v>34</v>
      </c>
      <c r="H1" s="74" t="s">
        <v>24</v>
      </c>
      <c r="I1" s="76" t="s">
        <v>4</v>
      </c>
      <c r="J1" s="76" t="s">
        <v>33</v>
      </c>
      <c r="K1" s="78" t="s">
        <v>32</v>
      </c>
      <c r="L1" s="78" t="s">
        <v>44</v>
      </c>
      <c r="M1" s="74" t="s">
        <v>7</v>
      </c>
      <c r="N1" s="74" t="s">
        <v>8</v>
      </c>
      <c r="O1" s="77" t="s">
        <v>9</v>
      </c>
      <c r="Q1" s="74" t="s">
        <v>5</v>
      </c>
      <c r="R1" s="80"/>
      <c r="S1" s="81"/>
      <c r="T1" s="79"/>
    </row>
    <row r="2" spans="1:20" x14ac:dyDescent="0.3">
      <c r="A2" s="1">
        <v>1</v>
      </c>
      <c r="B2" s="36">
        <v>25.441664400000001</v>
      </c>
      <c r="C2" s="50">
        <v>103.42139999999999</v>
      </c>
      <c r="D2" s="1">
        <v>1</v>
      </c>
      <c r="E2" s="55">
        <f>6*25.4</f>
        <v>152.39999999999998</v>
      </c>
      <c r="F2" s="56">
        <v>381</v>
      </c>
      <c r="G2" s="56">
        <v>317.50126999999998</v>
      </c>
      <c r="H2" s="55">
        <v>50.799999999999955</v>
      </c>
      <c r="I2" s="50">
        <v>25.397459999999999</v>
      </c>
      <c r="J2" s="101">
        <f>D2*(3.14/4)*I2*I2</f>
        <v>506.34931494450603</v>
      </c>
      <c r="K2">
        <f>J2/(2.5*(F2-G2))</f>
        <v>3.1896657772179435</v>
      </c>
      <c r="L2">
        <f>J2/(E2*F2)</f>
        <v>8.7204778650000012E-3</v>
      </c>
      <c r="M2" s="50">
        <v>50.800000000000011</v>
      </c>
      <c r="N2" s="3">
        <v>5.1561999999999997E-2</v>
      </c>
      <c r="O2" s="131" t="s">
        <v>26</v>
      </c>
      <c r="Q2" s="68">
        <v>1.01E-2</v>
      </c>
      <c r="S2" s="72"/>
      <c r="T2" s="55"/>
    </row>
    <row r="3" spans="1:20" x14ac:dyDescent="0.3">
      <c r="A3" s="1">
        <v>2</v>
      </c>
      <c r="B3" s="36">
        <v>25.855349999999998</v>
      </c>
      <c r="C3" s="50">
        <v>103.42139999999999</v>
      </c>
      <c r="D3" s="1">
        <v>1</v>
      </c>
      <c r="E3" s="55">
        <f t="shared" ref="E3:E66" si="0">6*25.4</f>
        <v>152.39999999999998</v>
      </c>
      <c r="F3" s="56">
        <v>381</v>
      </c>
      <c r="G3" s="56">
        <v>317.50126999999998</v>
      </c>
      <c r="H3" s="55">
        <v>50.799999999999955</v>
      </c>
      <c r="I3" s="50">
        <v>25.397459999999999</v>
      </c>
      <c r="J3" s="101">
        <f t="shared" ref="J3:J66" si="1">D3*(3.14/4)*I3*I3</f>
        <v>506.34931494450603</v>
      </c>
      <c r="K3">
        <f t="shared" ref="K3:K66" si="2">J3/(2.5*(F3-G3))</f>
        <v>3.1896657772179435</v>
      </c>
      <c r="L3">
        <f t="shared" ref="L3:L66" si="3">J3/(E3*F3)</f>
        <v>8.7204778650000012E-3</v>
      </c>
      <c r="M3" s="50">
        <v>50.800000000000011</v>
      </c>
      <c r="N3" s="3">
        <v>6.7055999999999991E-2</v>
      </c>
      <c r="O3" s="131"/>
      <c r="Q3" s="68">
        <v>1.01E-2</v>
      </c>
      <c r="S3" s="72"/>
      <c r="T3" s="55"/>
    </row>
    <row r="4" spans="1:20" x14ac:dyDescent="0.3">
      <c r="A4" s="1">
        <v>3</v>
      </c>
      <c r="B4" s="36">
        <v>30.061153599999997</v>
      </c>
      <c r="C4" s="50">
        <v>103.42139999999999</v>
      </c>
      <c r="D4" s="1">
        <v>2</v>
      </c>
      <c r="E4" s="55">
        <f t="shared" si="0"/>
        <v>152.39999999999998</v>
      </c>
      <c r="F4" s="56">
        <v>381</v>
      </c>
      <c r="G4" s="56">
        <v>330.33842999999996</v>
      </c>
      <c r="H4" s="55">
        <v>35.051999999999964</v>
      </c>
      <c r="I4" s="50">
        <v>19.027139999999996</v>
      </c>
      <c r="J4" s="101">
        <f t="shared" si="1"/>
        <v>568.39032882997174</v>
      </c>
      <c r="K4">
        <f t="shared" si="2"/>
        <v>4.4877435012769737</v>
      </c>
      <c r="L4">
        <f t="shared" si="3"/>
        <v>9.7889641299999958E-3</v>
      </c>
      <c r="M4" s="50">
        <v>41.148000000000025</v>
      </c>
      <c r="N4" s="3">
        <v>5.7911999999999991E-2</v>
      </c>
      <c r="O4" s="131"/>
      <c r="Q4" s="68">
        <v>1.0999999999999999E-2</v>
      </c>
      <c r="S4" s="72"/>
      <c r="T4" s="55"/>
    </row>
    <row r="5" spans="1:20" x14ac:dyDescent="0.3">
      <c r="A5" s="1">
        <v>4</v>
      </c>
      <c r="B5" s="36">
        <v>27.165354399999998</v>
      </c>
      <c r="C5" s="50">
        <v>103.42139999999999</v>
      </c>
      <c r="D5" s="1">
        <v>2</v>
      </c>
      <c r="E5" s="55">
        <f t="shared" si="0"/>
        <v>152.39999999999998</v>
      </c>
      <c r="F5" s="56">
        <v>381</v>
      </c>
      <c r="G5" s="56">
        <v>323.98614400000002</v>
      </c>
      <c r="H5" s="55">
        <v>28.701999999999998</v>
      </c>
      <c r="I5" s="50">
        <v>19.031711999999999</v>
      </c>
      <c r="J5" s="101">
        <f t="shared" si="1"/>
        <v>568.66351679198203</v>
      </c>
      <c r="K5">
        <f t="shared" si="2"/>
        <v>3.9896513352261755</v>
      </c>
      <c r="L5">
        <f t="shared" si="3"/>
        <v>9.7936690432000005E-3</v>
      </c>
      <c r="M5" s="50">
        <v>47.49799999999999</v>
      </c>
      <c r="N5" s="3">
        <v>7.8231999999999996E-2</v>
      </c>
      <c r="O5" s="131"/>
      <c r="Q5" s="68">
        <v>1.12E-2</v>
      </c>
      <c r="S5" s="72"/>
      <c r="T5" s="55"/>
    </row>
    <row r="6" spans="1:20" x14ac:dyDescent="0.3">
      <c r="A6" s="1">
        <v>5</v>
      </c>
      <c r="B6" s="36">
        <v>26.820616399999999</v>
      </c>
      <c r="C6" s="50">
        <v>103.42139999999999</v>
      </c>
      <c r="D6" s="1">
        <v>2</v>
      </c>
      <c r="E6" s="55">
        <f t="shared" si="0"/>
        <v>152.39999999999998</v>
      </c>
      <c r="F6" s="56">
        <v>381</v>
      </c>
      <c r="G6" s="56">
        <v>346.01505599999996</v>
      </c>
      <c r="H6" s="55">
        <v>52.323999999999955</v>
      </c>
      <c r="I6" s="50">
        <v>22.217887999999999</v>
      </c>
      <c r="J6" s="101">
        <f t="shared" si="1"/>
        <v>775.00623907345403</v>
      </c>
      <c r="K6">
        <f t="shared" si="2"/>
        <v>8.8610259210185163</v>
      </c>
      <c r="L6">
        <f t="shared" si="3"/>
        <v>1.3347356367644446E-2</v>
      </c>
      <c r="M6" s="50">
        <v>23.876000000000033</v>
      </c>
      <c r="N6" s="3">
        <v>4.8259999999999997E-2</v>
      </c>
      <c r="O6" s="131"/>
      <c r="Q6" s="68">
        <v>1.4200000000000001E-2</v>
      </c>
      <c r="S6" s="72"/>
      <c r="T6" s="55"/>
    </row>
    <row r="7" spans="1:20" x14ac:dyDescent="0.3">
      <c r="A7" s="1">
        <v>6</v>
      </c>
      <c r="B7" s="36">
        <v>22.407969999999999</v>
      </c>
      <c r="C7" s="50">
        <v>103.42139999999999</v>
      </c>
      <c r="D7" s="1">
        <v>2</v>
      </c>
      <c r="E7" s="55">
        <f t="shared" si="0"/>
        <v>152.39999999999998</v>
      </c>
      <c r="F7" s="56">
        <v>381</v>
      </c>
      <c r="G7" s="56">
        <v>320.62889899999999</v>
      </c>
      <c r="H7" s="55">
        <v>26.923999999999978</v>
      </c>
      <c r="I7" s="50">
        <v>22.190201999999999</v>
      </c>
      <c r="J7" s="101">
        <f t="shared" si="1"/>
        <v>773.07595173726236</v>
      </c>
      <c r="K7">
        <f t="shared" si="2"/>
        <v>5.1221590392215122</v>
      </c>
      <c r="L7">
        <f t="shared" si="3"/>
        <v>1.3314112463700003E-2</v>
      </c>
      <c r="M7" s="50">
        <v>49.27600000000001</v>
      </c>
      <c r="N7" s="3">
        <v>7.1627999999999997E-2</v>
      </c>
      <c r="O7" s="131"/>
      <c r="Q7" s="68">
        <v>1.5299999999999999E-2</v>
      </c>
      <c r="S7" s="72"/>
      <c r="T7" s="55"/>
    </row>
    <row r="8" spans="1:20" x14ac:dyDescent="0.3">
      <c r="A8" s="1">
        <v>7</v>
      </c>
      <c r="B8" s="36">
        <v>29.509572800000001</v>
      </c>
      <c r="C8" s="50">
        <v>103.42139999999999</v>
      </c>
      <c r="D8" s="1">
        <v>2</v>
      </c>
      <c r="E8" s="55">
        <f t="shared" si="0"/>
        <v>152.39999999999998</v>
      </c>
      <c r="F8" s="56">
        <v>381</v>
      </c>
      <c r="G8" s="56">
        <v>320.62889899999999</v>
      </c>
      <c r="H8" s="55">
        <v>26.923999999999978</v>
      </c>
      <c r="I8" s="50">
        <v>22.190201999999999</v>
      </c>
      <c r="J8" s="101">
        <f t="shared" si="1"/>
        <v>773.07595173726236</v>
      </c>
      <c r="K8">
        <f t="shared" si="2"/>
        <v>5.1221590392215122</v>
      </c>
      <c r="L8">
        <f t="shared" si="3"/>
        <v>1.3314112463700003E-2</v>
      </c>
      <c r="M8" s="50">
        <v>49.27600000000001</v>
      </c>
      <c r="N8" s="3">
        <v>6.1213999999999991E-2</v>
      </c>
      <c r="O8" s="131"/>
      <c r="Q8" s="68">
        <v>1.5299999999999999E-2</v>
      </c>
      <c r="S8" s="72"/>
      <c r="T8" s="55"/>
    </row>
    <row r="9" spans="1:20" x14ac:dyDescent="0.3">
      <c r="A9" s="1">
        <v>8</v>
      </c>
      <c r="B9" s="36">
        <v>29.026939599999999</v>
      </c>
      <c r="C9" s="50">
        <v>103.42139999999999</v>
      </c>
      <c r="D9" s="1">
        <v>2</v>
      </c>
      <c r="E9" s="55">
        <f t="shared" si="0"/>
        <v>152.39999999999998</v>
      </c>
      <c r="F9" s="56">
        <v>381</v>
      </c>
      <c r="G9" s="56">
        <v>320.62889899999999</v>
      </c>
      <c r="H9" s="55">
        <v>26.923999999999978</v>
      </c>
      <c r="I9" s="50">
        <v>22.190201999999999</v>
      </c>
      <c r="J9" s="101">
        <f t="shared" si="1"/>
        <v>773.07595173726236</v>
      </c>
      <c r="K9">
        <f t="shared" si="2"/>
        <v>5.1221590392215122</v>
      </c>
      <c r="L9">
        <f t="shared" si="3"/>
        <v>1.3314112463700003E-2</v>
      </c>
      <c r="M9" s="50">
        <v>49.27600000000001</v>
      </c>
      <c r="N9" s="3">
        <v>9.017E-2</v>
      </c>
      <c r="O9" s="131"/>
      <c r="Q9" s="68">
        <v>1.5299999999999999E-2</v>
      </c>
      <c r="S9" s="72"/>
      <c r="T9" s="55"/>
    </row>
    <row r="10" spans="1:20" x14ac:dyDescent="0.3">
      <c r="A10" s="1">
        <v>9</v>
      </c>
      <c r="B10" s="36">
        <v>27.854830399999997</v>
      </c>
      <c r="C10" s="50">
        <v>103.42139999999999</v>
      </c>
      <c r="D10" s="35">
        <v>2</v>
      </c>
      <c r="E10" s="55">
        <f t="shared" si="0"/>
        <v>152.39999999999998</v>
      </c>
      <c r="F10" s="56">
        <v>381</v>
      </c>
      <c r="G10" s="56">
        <v>320.62889899999999</v>
      </c>
      <c r="H10" s="55">
        <v>26.923999999999978</v>
      </c>
      <c r="I10" s="50">
        <v>22.190201999999999</v>
      </c>
      <c r="J10" s="101">
        <f t="shared" si="1"/>
        <v>773.07595173726236</v>
      </c>
      <c r="K10">
        <f t="shared" si="2"/>
        <v>5.1221590392215122</v>
      </c>
      <c r="L10">
        <f t="shared" si="3"/>
        <v>1.3314112463700003E-2</v>
      </c>
      <c r="M10" s="50">
        <v>49.27600000000001</v>
      </c>
      <c r="N10" s="3">
        <v>8.3565999999999988E-2</v>
      </c>
      <c r="O10" s="131"/>
      <c r="Q10" s="68">
        <v>1.5299999999999999E-2</v>
      </c>
      <c r="S10" s="72"/>
      <c r="T10" s="55"/>
    </row>
    <row r="11" spans="1:20" x14ac:dyDescent="0.3">
      <c r="A11" s="1">
        <v>10</v>
      </c>
      <c r="B11" s="36">
        <v>24.614293199999999</v>
      </c>
      <c r="C11" s="50">
        <v>103.42139999999999</v>
      </c>
      <c r="D11" s="1">
        <v>1</v>
      </c>
      <c r="E11" s="55">
        <f t="shared" si="0"/>
        <v>152.39999999999998</v>
      </c>
      <c r="F11" s="56">
        <v>381</v>
      </c>
      <c r="G11" s="56">
        <v>310.52960499999995</v>
      </c>
      <c r="H11" s="55">
        <v>43.687999999999874</v>
      </c>
      <c r="I11" s="50">
        <v>32.228790000000004</v>
      </c>
      <c r="J11" s="101">
        <f t="shared" si="1"/>
        <v>815.3755003183187</v>
      </c>
      <c r="K11">
        <f t="shared" si="2"/>
        <v>4.6281874839402732</v>
      </c>
      <c r="L11">
        <f t="shared" si="3"/>
        <v>1.4042606146250004E-2</v>
      </c>
      <c r="M11" s="50">
        <v>54.356000000000051</v>
      </c>
      <c r="N11" s="3">
        <v>0.11226800000000001</v>
      </c>
      <c r="O11" s="131"/>
      <c r="Q11" s="68">
        <v>1.6500000000000001E-2</v>
      </c>
      <c r="S11" s="72"/>
      <c r="T11" s="55"/>
    </row>
    <row r="12" spans="1:20" x14ac:dyDescent="0.3">
      <c r="A12" s="1">
        <v>11</v>
      </c>
      <c r="B12" s="36">
        <v>28.682201599999999</v>
      </c>
      <c r="C12" s="50">
        <v>103.42139999999999</v>
      </c>
      <c r="D12" s="1">
        <v>1</v>
      </c>
      <c r="E12" s="55">
        <f t="shared" si="0"/>
        <v>152.39999999999998</v>
      </c>
      <c r="F12" s="56">
        <v>381</v>
      </c>
      <c r="G12" s="56">
        <v>310.52960499999995</v>
      </c>
      <c r="H12" s="55">
        <v>43.687999999999874</v>
      </c>
      <c r="I12" s="50">
        <v>32.228790000000004</v>
      </c>
      <c r="J12" s="101">
        <f t="shared" si="1"/>
        <v>815.3755003183187</v>
      </c>
      <c r="K12">
        <f t="shared" si="2"/>
        <v>4.6281874839402732</v>
      </c>
      <c r="L12">
        <f t="shared" si="3"/>
        <v>1.4042606146250004E-2</v>
      </c>
      <c r="M12" s="50">
        <v>54.356000000000051</v>
      </c>
      <c r="N12" s="3">
        <v>0.130302</v>
      </c>
      <c r="O12" s="131"/>
      <c r="Q12" s="68">
        <v>1.6500000000000001E-2</v>
      </c>
      <c r="S12" s="72"/>
      <c r="T12" s="55"/>
    </row>
    <row r="13" spans="1:20" x14ac:dyDescent="0.3">
      <c r="A13" s="1">
        <v>12</v>
      </c>
      <c r="B13" s="36">
        <v>26.613773599999998</v>
      </c>
      <c r="C13" s="50">
        <v>103.42139999999999</v>
      </c>
      <c r="D13" s="1">
        <v>2</v>
      </c>
      <c r="E13" s="55">
        <f t="shared" si="0"/>
        <v>152.39999999999998</v>
      </c>
      <c r="F13" s="56">
        <v>381</v>
      </c>
      <c r="G13" s="56">
        <v>317.51574799999997</v>
      </c>
      <c r="H13" s="55">
        <v>25.399999999999977</v>
      </c>
      <c r="I13" s="50">
        <v>25.368503999999998</v>
      </c>
      <c r="J13" s="101">
        <f t="shared" si="1"/>
        <v>1010.3907624608851</v>
      </c>
      <c r="K13">
        <f t="shared" si="2"/>
        <v>6.3662450489981968</v>
      </c>
      <c r="L13">
        <f t="shared" si="3"/>
        <v>1.7401209044800001E-2</v>
      </c>
      <c r="M13" s="50">
        <v>50.800000000000011</v>
      </c>
      <c r="N13" s="3">
        <v>0.16611599999999999</v>
      </c>
      <c r="O13" s="131"/>
      <c r="Q13" s="68">
        <v>2.0299999999999999E-2</v>
      </c>
      <c r="S13" s="72"/>
      <c r="T13" s="55"/>
    </row>
    <row r="14" spans="1:20" x14ac:dyDescent="0.3">
      <c r="A14" s="1">
        <v>13</v>
      </c>
      <c r="B14" s="36">
        <v>26.6827212</v>
      </c>
      <c r="C14" s="50">
        <v>103.42139999999999</v>
      </c>
      <c r="D14" s="1">
        <v>2</v>
      </c>
      <c r="E14" s="55">
        <f t="shared" si="0"/>
        <v>152.39999999999998</v>
      </c>
      <c r="F14" s="56">
        <v>381</v>
      </c>
      <c r="G14" s="56">
        <v>317.51574799999997</v>
      </c>
      <c r="H14" s="55">
        <v>25.399999999999977</v>
      </c>
      <c r="I14" s="50">
        <v>25.368503999999998</v>
      </c>
      <c r="J14" s="101">
        <f t="shared" si="1"/>
        <v>1010.3907624608851</v>
      </c>
      <c r="K14">
        <f t="shared" si="2"/>
        <v>6.3662450489981968</v>
      </c>
      <c r="L14">
        <f t="shared" si="3"/>
        <v>1.7401209044800001E-2</v>
      </c>
      <c r="M14" s="50">
        <v>50.800000000000011</v>
      </c>
      <c r="N14" s="3">
        <v>8.763E-2</v>
      </c>
      <c r="O14" s="131"/>
      <c r="Q14" s="68">
        <v>2.0299999999999999E-2</v>
      </c>
      <c r="S14" s="72"/>
      <c r="T14" s="55"/>
    </row>
    <row r="15" spans="1:20" x14ac:dyDescent="0.3">
      <c r="A15" s="1">
        <v>14</v>
      </c>
      <c r="B15" s="36">
        <v>28.130620799999999</v>
      </c>
      <c r="C15" s="50">
        <v>103.42139999999999</v>
      </c>
      <c r="D15" s="1">
        <v>2</v>
      </c>
      <c r="E15" s="55">
        <f t="shared" si="0"/>
        <v>152.39999999999998</v>
      </c>
      <c r="F15" s="56">
        <v>381</v>
      </c>
      <c r="G15" s="56">
        <v>330.11516399999999</v>
      </c>
      <c r="H15" s="55">
        <v>39.623999999999967</v>
      </c>
      <c r="I15" s="50">
        <v>28.617671999999995</v>
      </c>
      <c r="J15" s="101">
        <f t="shared" si="1"/>
        <v>1285.7847065983465</v>
      </c>
      <c r="K15">
        <f t="shared" si="2"/>
        <v>10.107409654210903</v>
      </c>
      <c r="L15">
        <f t="shared" si="3"/>
        <v>2.2144114235199994E-2</v>
      </c>
      <c r="M15" s="50">
        <v>36.576000000000022</v>
      </c>
      <c r="N15" s="3">
        <v>5.969E-2</v>
      </c>
      <c r="O15" s="131"/>
      <c r="Q15" s="68">
        <v>2.46E-2</v>
      </c>
      <c r="S15" s="72"/>
      <c r="T15" s="55"/>
    </row>
    <row r="16" spans="1:20" x14ac:dyDescent="0.3">
      <c r="A16" s="1">
        <v>15</v>
      </c>
      <c r="B16" s="36">
        <v>28.5443064</v>
      </c>
      <c r="C16" s="50">
        <v>103.42139999999999</v>
      </c>
      <c r="D16" s="1">
        <v>2</v>
      </c>
      <c r="E16" s="55">
        <f t="shared" si="0"/>
        <v>152.39999999999998</v>
      </c>
      <c r="F16" s="56">
        <v>381</v>
      </c>
      <c r="G16" s="56">
        <v>314.357258</v>
      </c>
      <c r="H16" s="55">
        <v>23.875999999999976</v>
      </c>
      <c r="I16" s="50">
        <v>28.637484000000001</v>
      </c>
      <c r="J16" s="101">
        <f t="shared" si="1"/>
        <v>1287.5656190649022</v>
      </c>
      <c r="K16">
        <f t="shared" si="2"/>
        <v>7.728167121724387</v>
      </c>
      <c r="L16">
        <f t="shared" si="3"/>
        <v>2.2174785566800009E-2</v>
      </c>
      <c r="M16" s="50">
        <v>52.324000000000012</v>
      </c>
      <c r="N16" s="3">
        <v>0.10540999999999999</v>
      </c>
      <c r="O16" s="131"/>
      <c r="Q16" s="68">
        <v>2.58E-2</v>
      </c>
      <c r="S16" s="72"/>
      <c r="T16" s="55"/>
    </row>
    <row r="17" spans="1:20" x14ac:dyDescent="0.3">
      <c r="A17" s="1">
        <v>16</v>
      </c>
      <c r="B17" s="36">
        <v>27.234302</v>
      </c>
      <c r="C17" s="50">
        <v>103.42139999999999</v>
      </c>
      <c r="D17" s="1">
        <v>2</v>
      </c>
      <c r="E17" s="55">
        <f t="shared" si="0"/>
        <v>152.39999999999998</v>
      </c>
      <c r="F17" s="56">
        <v>381</v>
      </c>
      <c r="G17" s="56">
        <v>314.357258</v>
      </c>
      <c r="H17" s="55">
        <v>23.875999999999976</v>
      </c>
      <c r="I17" s="50">
        <v>28.637484000000001</v>
      </c>
      <c r="J17" s="101">
        <f t="shared" si="1"/>
        <v>1287.5656190649022</v>
      </c>
      <c r="K17">
        <f t="shared" si="2"/>
        <v>7.728167121724387</v>
      </c>
      <c r="L17">
        <f t="shared" si="3"/>
        <v>2.2174785566800009E-2</v>
      </c>
      <c r="M17" s="50">
        <v>52.324000000000012</v>
      </c>
      <c r="N17" s="3">
        <v>7.6707999999999998E-2</v>
      </c>
      <c r="O17" s="131"/>
      <c r="Q17" s="68">
        <v>2.58E-2</v>
      </c>
      <c r="S17" s="72"/>
      <c r="T17" s="55"/>
    </row>
    <row r="18" spans="1:20" x14ac:dyDescent="0.3">
      <c r="A18" s="1">
        <v>17</v>
      </c>
      <c r="B18" s="36">
        <v>28.5443064</v>
      </c>
      <c r="C18" s="50">
        <v>103.42139999999999</v>
      </c>
      <c r="D18" s="1">
        <v>2</v>
      </c>
      <c r="E18" s="55">
        <f t="shared" si="0"/>
        <v>152.39999999999998</v>
      </c>
      <c r="F18" s="56">
        <v>381</v>
      </c>
      <c r="G18" s="56">
        <v>314.357258</v>
      </c>
      <c r="H18" s="55">
        <v>23.875999999999976</v>
      </c>
      <c r="I18" s="50">
        <v>28.637484000000001</v>
      </c>
      <c r="J18" s="101">
        <f t="shared" si="1"/>
        <v>1287.5656190649022</v>
      </c>
      <c r="K18">
        <f t="shared" si="2"/>
        <v>7.728167121724387</v>
      </c>
      <c r="L18">
        <f t="shared" si="3"/>
        <v>2.2174785566800009E-2</v>
      </c>
      <c r="M18" s="50">
        <v>52.324000000000012</v>
      </c>
      <c r="N18" s="3">
        <v>7.4167999999999998E-2</v>
      </c>
      <c r="O18" s="131"/>
      <c r="Q18" s="68">
        <v>2.58E-2</v>
      </c>
      <c r="S18" s="72"/>
      <c r="T18" s="55"/>
    </row>
    <row r="19" spans="1:20" x14ac:dyDescent="0.3">
      <c r="A19" s="1">
        <v>18</v>
      </c>
      <c r="B19" s="36">
        <v>24.407450399999998</v>
      </c>
      <c r="C19" s="50">
        <v>103.42139999999999</v>
      </c>
      <c r="D19" s="1">
        <v>2</v>
      </c>
      <c r="E19" s="55">
        <f t="shared" si="0"/>
        <v>152.39999999999998</v>
      </c>
      <c r="F19" s="56">
        <v>381</v>
      </c>
      <c r="G19" s="56">
        <v>314.357258</v>
      </c>
      <c r="H19" s="55">
        <v>23.875999999999976</v>
      </c>
      <c r="I19" s="50">
        <v>28.637484000000001</v>
      </c>
      <c r="J19" s="101">
        <f t="shared" si="1"/>
        <v>1287.5656190649022</v>
      </c>
      <c r="K19">
        <f t="shared" si="2"/>
        <v>7.728167121724387</v>
      </c>
      <c r="L19">
        <f t="shared" si="3"/>
        <v>2.2174785566800009E-2</v>
      </c>
      <c r="M19" s="50">
        <v>52.324000000000012</v>
      </c>
      <c r="N19" s="3">
        <v>0.112522</v>
      </c>
      <c r="O19" s="131"/>
      <c r="Q19" s="68">
        <v>2.58E-2</v>
      </c>
      <c r="S19" s="72"/>
      <c r="T19" s="55"/>
    </row>
    <row r="20" spans="1:20" x14ac:dyDescent="0.3">
      <c r="A20" s="1">
        <v>19</v>
      </c>
      <c r="B20" s="37">
        <v>27.303249600000001</v>
      </c>
      <c r="C20" s="50">
        <v>103.42139999999999</v>
      </c>
      <c r="D20" s="1">
        <v>1</v>
      </c>
      <c r="E20" s="55">
        <f t="shared" si="0"/>
        <v>152.39999999999998</v>
      </c>
      <c r="F20" s="56">
        <v>584.19999999999993</v>
      </c>
      <c r="G20" s="56">
        <v>513.72046099999989</v>
      </c>
      <c r="H20" s="55">
        <v>43.687999999999988</v>
      </c>
      <c r="I20" s="50">
        <v>32.247078000000002</v>
      </c>
      <c r="J20" s="101">
        <f t="shared" si="1"/>
        <v>816.30112103739611</v>
      </c>
      <c r="K20">
        <f t="shared" si="2"/>
        <v>4.6328402973089569</v>
      </c>
      <c r="L20">
        <f t="shared" si="3"/>
        <v>9.1686178851195701E-3</v>
      </c>
      <c r="M20" s="50">
        <v>54.355999999999995</v>
      </c>
      <c r="N20" s="3">
        <v>8.4073999999999996E-2</v>
      </c>
      <c r="O20" s="131"/>
      <c r="Q20" s="68">
        <v>1.01E-2</v>
      </c>
      <c r="S20" s="72"/>
      <c r="T20" s="55"/>
    </row>
    <row r="21" spans="1:20" x14ac:dyDescent="0.3">
      <c r="A21" s="1">
        <v>20</v>
      </c>
      <c r="B21" s="37">
        <v>24.959031199999998</v>
      </c>
      <c r="C21" s="50">
        <v>103.42139999999999</v>
      </c>
      <c r="D21" s="1">
        <v>1</v>
      </c>
      <c r="E21" s="55">
        <f t="shared" si="0"/>
        <v>152.39999999999998</v>
      </c>
      <c r="F21" s="56">
        <v>584.19999999999993</v>
      </c>
      <c r="G21" s="56">
        <v>513.72046099999989</v>
      </c>
      <c r="H21" s="55">
        <v>43.687999999999988</v>
      </c>
      <c r="I21" s="50">
        <v>32.247078000000002</v>
      </c>
      <c r="J21" s="101">
        <f t="shared" si="1"/>
        <v>816.30112103739611</v>
      </c>
      <c r="K21">
        <f t="shared" si="2"/>
        <v>4.6328402973089569</v>
      </c>
      <c r="L21">
        <f t="shared" si="3"/>
        <v>9.1686178851195701E-3</v>
      </c>
      <c r="M21" s="50">
        <v>54.355999999999995</v>
      </c>
      <c r="N21" s="3">
        <v>0.10185399999999999</v>
      </c>
      <c r="O21" s="131"/>
      <c r="Q21" s="68">
        <v>1.01E-2</v>
      </c>
      <c r="S21" s="72"/>
      <c r="T21" s="55"/>
    </row>
    <row r="22" spans="1:20" x14ac:dyDescent="0.3">
      <c r="A22" s="1">
        <v>21</v>
      </c>
      <c r="B22" s="37">
        <v>27.0964068</v>
      </c>
      <c r="C22" s="50">
        <v>103.42139999999999</v>
      </c>
      <c r="D22" s="1">
        <v>1</v>
      </c>
      <c r="E22" s="55">
        <f t="shared" si="0"/>
        <v>152.39999999999998</v>
      </c>
      <c r="F22" s="56">
        <v>584.19999999999993</v>
      </c>
      <c r="G22" s="56">
        <v>497.72214400000001</v>
      </c>
      <c r="H22" s="55">
        <v>15.240000000000123</v>
      </c>
      <c r="I22" s="50">
        <v>35.795712000000002</v>
      </c>
      <c r="J22" s="101">
        <f t="shared" si="1"/>
        <v>1005.8464031057512</v>
      </c>
      <c r="K22">
        <f t="shared" si="2"/>
        <v>4.6525038877270601</v>
      </c>
      <c r="L22">
        <f t="shared" si="3"/>
        <v>1.1297572774956527E-2</v>
      </c>
      <c r="M22" s="50">
        <v>68.579999999999927</v>
      </c>
      <c r="N22" s="3">
        <v>0.10515599999999999</v>
      </c>
      <c r="O22" s="131"/>
      <c r="Q22" s="68">
        <v>1.2800000000000001E-2</v>
      </c>
      <c r="S22" s="72"/>
      <c r="T22" s="55"/>
    </row>
    <row r="23" spans="1:20" x14ac:dyDescent="0.3">
      <c r="A23" s="1">
        <v>22</v>
      </c>
      <c r="B23" s="37">
        <v>25.165873999999999</v>
      </c>
      <c r="C23" s="50">
        <v>103.42139999999999</v>
      </c>
      <c r="D23" s="1">
        <v>2</v>
      </c>
      <c r="E23" s="55">
        <f t="shared" si="0"/>
        <v>152.39999999999998</v>
      </c>
      <c r="F23" s="56">
        <v>584.19999999999993</v>
      </c>
      <c r="G23" s="56">
        <v>517.55916300000001</v>
      </c>
      <c r="H23" s="55">
        <v>23.876000000000033</v>
      </c>
      <c r="I23" s="50">
        <v>28.633674000000006</v>
      </c>
      <c r="J23" s="101">
        <f t="shared" si="1"/>
        <v>1287.2230401790939</v>
      </c>
      <c r="K23">
        <f t="shared" si="2"/>
        <v>7.7263317696870795</v>
      </c>
      <c r="L23">
        <f t="shared" si="3"/>
        <v>1.4457968859978272E-2</v>
      </c>
      <c r="M23" s="50">
        <v>52.323999999999955</v>
      </c>
      <c r="N23" s="3">
        <v>9.1693999999999998E-2</v>
      </c>
      <c r="O23" s="131"/>
      <c r="Q23" s="68">
        <v>1.5900000000000001E-2</v>
      </c>
      <c r="S23" s="72"/>
      <c r="T23" s="55"/>
    </row>
    <row r="24" spans="1:20" x14ac:dyDescent="0.3">
      <c r="A24" s="1">
        <v>23</v>
      </c>
      <c r="B24" s="37">
        <v>24.545345599999997</v>
      </c>
      <c r="C24" s="50">
        <v>103.42139999999999</v>
      </c>
      <c r="D24" s="1">
        <v>2</v>
      </c>
      <c r="E24" s="55">
        <f t="shared" si="0"/>
        <v>152.39999999999998</v>
      </c>
      <c r="F24" s="56">
        <v>584.19999999999993</v>
      </c>
      <c r="G24" s="56">
        <v>517.55916300000001</v>
      </c>
      <c r="H24" s="55">
        <v>23.876000000000033</v>
      </c>
      <c r="I24" s="50">
        <v>28.633674000000006</v>
      </c>
      <c r="J24" s="101">
        <f t="shared" si="1"/>
        <v>1287.2230401790939</v>
      </c>
      <c r="K24">
        <f t="shared" si="2"/>
        <v>7.7263317696870795</v>
      </c>
      <c r="L24">
        <f t="shared" si="3"/>
        <v>1.4457968859978272E-2</v>
      </c>
      <c r="M24" s="50">
        <v>52.323999999999955</v>
      </c>
      <c r="N24" s="3">
        <v>8.4328E-2</v>
      </c>
      <c r="O24" s="131"/>
      <c r="Q24" s="68">
        <v>1.5900000000000001E-2</v>
      </c>
      <c r="S24" s="72"/>
      <c r="T24" s="55"/>
    </row>
    <row r="25" spans="1:20" x14ac:dyDescent="0.3">
      <c r="A25" s="1">
        <v>24</v>
      </c>
      <c r="B25" s="37">
        <v>24.752188399999998</v>
      </c>
      <c r="C25" s="50">
        <v>103.42139999999999</v>
      </c>
      <c r="D25" s="1">
        <v>2</v>
      </c>
      <c r="E25" s="55">
        <f t="shared" si="0"/>
        <v>152.39999999999998</v>
      </c>
      <c r="F25" s="56">
        <v>584.19999999999993</v>
      </c>
      <c r="G25" s="56">
        <v>510.41299999999995</v>
      </c>
      <c r="H25" s="55">
        <v>20.319999999999993</v>
      </c>
      <c r="I25" s="50">
        <v>35.814</v>
      </c>
      <c r="J25" s="101">
        <f t="shared" si="1"/>
        <v>2013.7488757200001</v>
      </c>
      <c r="K25">
        <f t="shared" si="2"/>
        <v>10.916551022375218</v>
      </c>
      <c r="L25">
        <f t="shared" si="3"/>
        <v>2.261823913043479E-2</v>
      </c>
      <c r="M25" s="50">
        <v>55.879999999999995</v>
      </c>
      <c r="N25" s="3">
        <v>8.6359999999999992E-2</v>
      </c>
      <c r="O25" s="131"/>
      <c r="Q25" s="68">
        <v>2.5000000000000001E-2</v>
      </c>
      <c r="S25" s="72"/>
      <c r="T25" s="55"/>
    </row>
    <row r="26" spans="1:20" x14ac:dyDescent="0.3">
      <c r="A26" s="1">
        <v>25</v>
      </c>
      <c r="B26" s="37">
        <v>27.854830399999997</v>
      </c>
      <c r="C26" s="50">
        <v>103.42139999999999</v>
      </c>
      <c r="D26" s="1">
        <v>2</v>
      </c>
      <c r="E26" s="55">
        <f t="shared" si="0"/>
        <v>152.39999999999998</v>
      </c>
      <c r="F26" s="56">
        <v>584.19999999999993</v>
      </c>
      <c r="G26" s="56">
        <v>510.41299999999995</v>
      </c>
      <c r="H26" s="55">
        <v>20.319999999999993</v>
      </c>
      <c r="I26" s="50">
        <v>35.814</v>
      </c>
      <c r="J26" s="101">
        <f t="shared" si="1"/>
        <v>2013.7488757200001</v>
      </c>
      <c r="K26">
        <f t="shared" si="2"/>
        <v>10.916551022375218</v>
      </c>
      <c r="L26">
        <f t="shared" si="3"/>
        <v>2.261823913043479E-2</v>
      </c>
      <c r="M26" s="50">
        <v>55.879999999999995</v>
      </c>
      <c r="N26" s="3">
        <v>0.12445999999999999</v>
      </c>
      <c r="O26" s="131"/>
      <c r="Q26" s="68">
        <v>2.5000000000000001E-2</v>
      </c>
      <c r="S26" s="72"/>
      <c r="T26" s="55"/>
    </row>
    <row r="27" spans="1:20" x14ac:dyDescent="0.3">
      <c r="A27" s="1">
        <v>26</v>
      </c>
      <c r="B27" s="38">
        <v>25.441664400000001</v>
      </c>
      <c r="C27" s="51">
        <v>137.89519999999999</v>
      </c>
      <c r="D27" s="1">
        <v>1</v>
      </c>
      <c r="E27" s="55">
        <f t="shared" si="0"/>
        <v>152.39999999999998</v>
      </c>
      <c r="F27" s="57">
        <v>381</v>
      </c>
      <c r="G27" s="57">
        <v>317.50126999999998</v>
      </c>
      <c r="H27" s="55">
        <v>50.799999999999955</v>
      </c>
      <c r="I27" s="51">
        <v>25.397459999999999</v>
      </c>
      <c r="J27" s="101">
        <f t="shared" si="1"/>
        <v>506.34931494450603</v>
      </c>
      <c r="K27">
        <f t="shared" si="2"/>
        <v>3.1896657772179435</v>
      </c>
      <c r="L27">
        <f t="shared" si="3"/>
        <v>8.7204778650000012E-3</v>
      </c>
      <c r="M27" s="51">
        <v>50.800000000000011</v>
      </c>
      <c r="N27" s="3">
        <v>0.11785599999999999</v>
      </c>
      <c r="O27" s="131"/>
      <c r="Q27" s="68">
        <v>1.01E-2</v>
      </c>
      <c r="S27" s="72"/>
      <c r="T27" s="55"/>
    </row>
    <row r="28" spans="1:20" x14ac:dyDescent="0.3">
      <c r="A28" s="1">
        <v>27</v>
      </c>
      <c r="B28" s="38">
        <v>25.855349999999998</v>
      </c>
      <c r="C28" s="51">
        <v>137.89519999999999</v>
      </c>
      <c r="D28" s="1">
        <v>1</v>
      </c>
      <c r="E28" s="55">
        <f t="shared" si="0"/>
        <v>152.39999999999998</v>
      </c>
      <c r="F28" s="57">
        <v>381</v>
      </c>
      <c r="G28" s="57">
        <v>317.50126999999998</v>
      </c>
      <c r="H28" s="55">
        <v>50.799999999999955</v>
      </c>
      <c r="I28" s="51">
        <v>25.397459999999999</v>
      </c>
      <c r="J28" s="101">
        <f t="shared" si="1"/>
        <v>506.34931494450603</v>
      </c>
      <c r="K28">
        <f t="shared" si="2"/>
        <v>3.1896657772179435</v>
      </c>
      <c r="L28">
        <f t="shared" si="3"/>
        <v>8.7204778650000012E-3</v>
      </c>
      <c r="M28" s="51">
        <v>50.800000000000011</v>
      </c>
      <c r="N28" s="3">
        <v>0.116586</v>
      </c>
      <c r="O28" s="131"/>
      <c r="Q28" s="68">
        <v>1.01E-2</v>
      </c>
      <c r="S28" s="72"/>
      <c r="T28" s="55"/>
    </row>
    <row r="29" spans="1:20" x14ac:dyDescent="0.3">
      <c r="A29" s="1">
        <v>28</v>
      </c>
      <c r="B29" s="38">
        <v>30.061153599999997</v>
      </c>
      <c r="C29" s="51">
        <v>137.89519999999999</v>
      </c>
      <c r="D29" s="1">
        <v>2</v>
      </c>
      <c r="E29" s="55">
        <f t="shared" si="0"/>
        <v>152.39999999999998</v>
      </c>
      <c r="F29" s="57">
        <v>381</v>
      </c>
      <c r="G29" s="57">
        <v>330.33842999999996</v>
      </c>
      <c r="H29" s="55">
        <v>35.051999999999964</v>
      </c>
      <c r="I29" s="51">
        <v>19.027139999999996</v>
      </c>
      <c r="J29" s="101">
        <f t="shared" si="1"/>
        <v>568.39032882997174</v>
      </c>
      <c r="K29">
        <f t="shared" si="2"/>
        <v>4.4877435012769737</v>
      </c>
      <c r="L29">
        <f t="shared" si="3"/>
        <v>9.7889641299999958E-3</v>
      </c>
      <c r="M29" s="51">
        <v>41.148000000000025</v>
      </c>
      <c r="N29" s="3">
        <v>0.11201399999999999</v>
      </c>
      <c r="O29" s="131"/>
      <c r="Q29" s="68">
        <v>1.0999999999999999E-2</v>
      </c>
      <c r="S29" s="72"/>
      <c r="T29" s="55"/>
    </row>
    <row r="30" spans="1:20" x14ac:dyDescent="0.3">
      <c r="A30" s="1">
        <v>29</v>
      </c>
      <c r="B30" s="38">
        <v>29.233782399999999</v>
      </c>
      <c r="C30" s="51">
        <v>137.89519999999999</v>
      </c>
      <c r="D30" s="1">
        <v>2</v>
      </c>
      <c r="E30" s="55">
        <f t="shared" si="0"/>
        <v>152.39999999999998</v>
      </c>
      <c r="F30" s="57">
        <v>381</v>
      </c>
      <c r="G30" s="57">
        <v>330.33842999999996</v>
      </c>
      <c r="H30" s="55">
        <v>35.051999999999964</v>
      </c>
      <c r="I30" s="51">
        <v>19.027139999999996</v>
      </c>
      <c r="J30" s="101">
        <f t="shared" si="1"/>
        <v>568.39032882997174</v>
      </c>
      <c r="K30">
        <f t="shared" si="2"/>
        <v>4.4877435012769737</v>
      </c>
      <c r="L30">
        <f t="shared" si="3"/>
        <v>9.7889641299999958E-3</v>
      </c>
      <c r="M30" s="51">
        <v>41.148000000000025</v>
      </c>
      <c r="N30" s="3">
        <v>7.6453999999999994E-2</v>
      </c>
      <c r="O30" s="131"/>
      <c r="Q30" s="68">
        <v>1.0999999999999999E-2</v>
      </c>
      <c r="S30" s="72"/>
      <c r="T30" s="55"/>
    </row>
    <row r="31" spans="1:20" x14ac:dyDescent="0.3">
      <c r="A31" s="1">
        <v>30</v>
      </c>
      <c r="B31" s="38">
        <v>27.165354399999998</v>
      </c>
      <c r="C31" s="51">
        <v>137.89519999999999</v>
      </c>
      <c r="D31" s="1">
        <v>2</v>
      </c>
      <c r="E31" s="55">
        <f t="shared" si="0"/>
        <v>152.39999999999998</v>
      </c>
      <c r="F31" s="57">
        <v>381</v>
      </c>
      <c r="G31" s="57">
        <v>323.98614400000002</v>
      </c>
      <c r="H31" s="55">
        <v>28.701999999999998</v>
      </c>
      <c r="I31" s="51">
        <v>19.031711999999999</v>
      </c>
      <c r="J31" s="101">
        <f t="shared" si="1"/>
        <v>568.66351679198203</v>
      </c>
      <c r="K31">
        <f t="shared" si="2"/>
        <v>3.9896513352261755</v>
      </c>
      <c r="L31">
        <f t="shared" si="3"/>
        <v>9.7936690432000005E-3</v>
      </c>
      <c r="M31" s="51">
        <v>47.49799999999999</v>
      </c>
      <c r="N31" s="3">
        <v>9.3726000000000004E-2</v>
      </c>
      <c r="O31" s="131"/>
      <c r="Q31" s="68">
        <v>1.12E-2</v>
      </c>
      <c r="S31" s="72"/>
      <c r="T31" s="55"/>
    </row>
    <row r="32" spans="1:20" x14ac:dyDescent="0.3">
      <c r="A32" s="1">
        <v>31</v>
      </c>
      <c r="B32" s="38">
        <v>26.820616399999999</v>
      </c>
      <c r="C32" s="51">
        <v>137.89519999999999</v>
      </c>
      <c r="D32" s="1">
        <v>2</v>
      </c>
      <c r="E32" s="55">
        <f t="shared" si="0"/>
        <v>152.39999999999998</v>
      </c>
      <c r="F32" s="57">
        <v>381</v>
      </c>
      <c r="G32" s="57">
        <v>346.01505599999996</v>
      </c>
      <c r="H32" s="55">
        <v>52.323999999999955</v>
      </c>
      <c r="I32" s="51">
        <v>22.217887999999999</v>
      </c>
      <c r="J32" s="101">
        <f t="shared" si="1"/>
        <v>775.00623907345403</v>
      </c>
      <c r="K32">
        <f t="shared" si="2"/>
        <v>8.8610259210185163</v>
      </c>
      <c r="L32">
        <f t="shared" si="3"/>
        <v>1.3347356367644446E-2</v>
      </c>
      <c r="M32" s="51">
        <v>23.876000000000033</v>
      </c>
      <c r="N32" s="3">
        <v>6.9595999999999991E-2</v>
      </c>
      <c r="O32" s="131"/>
      <c r="Q32" s="68">
        <v>1.4200000000000001E-2</v>
      </c>
      <c r="S32" s="72"/>
      <c r="T32" s="55"/>
    </row>
    <row r="33" spans="1:20" x14ac:dyDescent="0.3">
      <c r="A33" s="1">
        <v>32</v>
      </c>
      <c r="B33" s="38">
        <v>22.407969999999999</v>
      </c>
      <c r="C33" s="51">
        <v>137.89519999999999</v>
      </c>
      <c r="D33" s="1">
        <v>2</v>
      </c>
      <c r="E33" s="55">
        <f t="shared" si="0"/>
        <v>152.39999999999998</v>
      </c>
      <c r="F33" s="57">
        <v>381</v>
      </c>
      <c r="G33" s="57">
        <v>320.62889899999999</v>
      </c>
      <c r="H33" s="55">
        <v>26.923999999999978</v>
      </c>
      <c r="I33" s="51">
        <v>22.190201999999999</v>
      </c>
      <c r="J33" s="101">
        <f t="shared" si="1"/>
        <v>773.07595173726236</v>
      </c>
      <c r="K33">
        <f t="shared" si="2"/>
        <v>5.1221590392215122</v>
      </c>
      <c r="L33">
        <f t="shared" si="3"/>
        <v>1.3314112463700003E-2</v>
      </c>
      <c r="M33" s="51">
        <v>49.27600000000001</v>
      </c>
      <c r="N33" s="3">
        <v>0.10922</v>
      </c>
      <c r="O33" s="131"/>
      <c r="Q33" s="68">
        <v>1.5299999999999999E-2</v>
      </c>
      <c r="S33" s="72"/>
      <c r="T33" s="55"/>
    </row>
    <row r="34" spans="1:20" x14ac:dyDescent="0.3">
      <c r="A34" s="1">
        <v>33</v>
      </c>
      <c r="B34" s="38">
        <v>29.509572800000001</v>
      </c>
      <c r="C34" s="51">
        <v>137.89519999999999</v>
      </c>
      <c r="D34" s="1">
        <v>2</v>
      </c>
      <c r="E34" s="55">
        <f t="shared" si="0"/>
        <v>152.39999999999998</v>
      </c>
      <c r="F34" s="57">
        <v>381</v>
      </c>
      <c r="G34" s="57">
        <v>320.62889899999999</v>
      </c>
      <c r="H34" s="55">
        <v>26.923999999999978</v>
      </c>
      <c r="I34" s="51">
        <v>22.190201999999999</v>
      </c>
      <c r="J34" s="101">
        <f t="shared" si="1"/>
        <v>773.07595173726236</v>
      </c>
      <c r="K34">
        <f t="shared" si="2"/>
        <v>5.1221590392215122</v>
      </c>
      <c r="L34">
        <f t="shared" si="3"/>
        <v>1.3314112463700003E-2</v>
      </c>
      <c r="M34" s="51">
        <v>49.27600000000001</v>
      </c>
      <c r="N34" s="3">
        <v>9.1947999999999988E-2</v>
      </c>
      <c r="O34" s="131"/>
      <c r="Q34" s="68">
        <v>1.5299999999999999E-2</v>
      </c>
      <c r="S34" s="72"/>
      <c r="T34" s="55"/>
    </row>
    <row r="35" spans="1:20" x14ac:dyDescent="0.3">
      <c r="A35" s="1">
        <v>34</v>
      </c>
      <c r="B35" s="38">
        <v>29.026939599999999</v>
      </c>
      <c r="C35" s="51">
        <v>137.89519999999999</v>
      </c>
      <c r="D35" s="1">
        <v>2</v>
      </c>
      <c r="E35" s="55">
        <f t="shared" si="0"/>
        <v>152.39999999999998</v>
      </c>
      <c r="F35" s="57">
        <v>381</v>
      </c>
      <c r="G35" s="57">
        <v>320.62889899999999</v>
      </c>
      <c r="H35" s="55">
        <v>26.923999999999978</v>
      </c>
      <c r="I35" s="51">
        <v>22.190201999999999</v>
      </c>
      <c r="J35" s="101">
        <f t="shared" si="1"/>
        <v>773.07595173726236</v>
      </c>
      <c r="K35">
        <f t="shared" si="2"/>
        <v>5.1221590392215122</v>
      </c>
      <c r="L35">
        <f t="shared" si="3"/>
        <v>1.3314112463700003E-2</v>
      </c>
      <c r="M35" s="51">
        <v>49.27600000000001</v>
      </c>
      <c r="N35" s="3">
        <v>0.10947399999999999</v>
      </c>
      <c r="O35" s="131"/>
      <c r="Q35" s="68">
        <v>1.5299999999999999E-2</v>
      </c>
      <c r="S35" s="72"/>
      <c r="T35" s="55"/>
    </row>
    <row r="36" spans="1:20" x14ac:dyDescent="0.3">
      <c r="A36" s="1">
        <v>35</v>
      </c>
      <c r="B36" s="38">
        <v>27.854830399999997</v>
      </c>
      <c r="C36" s="51">
        <v>137.89519999999999</v>
      </c>
      <c r="D36" s="1">
        <v>2</v>
      </c>
      <c r="E36" s="55">
        <f t="shared" si="0"/>
        <v>152.39999999999998</v>
      </c>
      <c r="F36" s="57">
        <v>381</v>
      </c>
      <c r="G36" s="57">
        <v>320.62889899999999</v>
      </c>
      <c r="H36" s="55">
        <v>26.923999999999978</v>
      </c>
      <c r="I36" s="51">
        <v>22.190201999999999</v>
      </c>
      <c r="J36" s="101">
        <f t="shared" si="1"/>
        <v>773.07595173726236</v>
      </c>
      <c r="K36">
        <f t="shared" si="2"/>
        <v>5.1221590392215122</v>
      </c>
      <c r="L36">
        <f t="shared" si="3"/>
        <v>1.3314112463700003E-2</v>
      </c>
      <c r="M36" s="51">
        <v>49.27600000000001</v>
      </c>
      <c r="N36" s="3">
        <v>0.14427199999999998</v>
      </c>
      <c r="O36" s="131"/>
      <c r="Q36" s="68">
        <v>1.5299999999999999E-2</v>
      </c>
      <c r="S36" s="72"/>
      <c r="T36" s="55"/>
    </row>
    <row r="37" spans="1:20" x14ac:dyDescent="0.3">
      <c r="A37" s="1">
        <v>36</v>
      </c>
      <c r="B37" s="38">
        <v>24.614293199999999</v>
      </c>
      <c r="C37" s="51">
        <v>137.89519999999999</v>
      </c>
      <c r="D37" s="1">
        <v>1</v>
      </c>
      <c r="E37" s="55">
        <f t="shared" si="0"/>
        <v>152.39999999999998</v>
      </c>
      <c r="F37" s="57">
        <v>381</v>
      </c>
      <c r="G37" s="57">
        <v>310.52960499999995</v>
      </c>
      <c r="H37" s="55">
        <v>43.687999999999874</v>
      </c>
      <c r="I37" s="51">
        <v>32.228790000000004</v>
      </c>
      <c r="J37" s="101">
        <f t="shared" si="1"/>
        <v>815.3755003183187</v>
      </c>
      <c r="K37">
        <f t="shared" si="2"/>
        <v>4.6281874839402732</v>
      </c>
      <c r="L37">
        <f t="shared" si="3"/>
        <v>1.4042606146250004E-2</v>
      </c>
      <c r="M37" s="51">
        <v>54.356000000000051</v>
      </c>
      <c r="N37" s="3">
        <v>0.16738600000000001</v>
      </c>
      <c r="O37" s="131"/>
      <c r="Q37" s="68">
        <v>1.6500000000000001E-2</v>
      </c>
      <c r="S37" s="72"/>
      <c r="T37" s="55"/>
    </row>
    <row r="38" spans="1:20" x14ac:dyDescent="0.3">
      <c r="A38" s="1">
        <v>37</v>
      </c>
      <c r="B38" s="38">
        <v>28.682201599999999</v>
      </c>
      <c r="C38" s="51">
        <v>137.89519999999999</v>
      </c>
      <c r="D38" s="1">
        <v>1</v>
      </c>
      <c r="E38" s="55">
        <f t="shared" si="0"/>
        <v>152.39999999999998</v>
      </c>
      <c r="F38" s="57">
        <v>381</v>
      </c>
      <c r="G38" s="57">
        <v>310.52960499999995</v>
      </c>
      <c r="H38" s="55">
        <v>43.687999999999874</v>
      </c>
      <c r="I38" s="51">
        <v>32.228790000000004</v>
      </c>
      <c r="J38" s="101">
        <f t="shared" si="1"/>
        <v>815.3755003183187</v>
      </c>
      <c r="K38">
        <f t="shared" si="2"/>
        <v>4.6281874839402732</v>
      </c>
      <c r="L38">
        <f t="shared" si="3"/>
        <v>1.4042606146250004E-2</v>
      </c>
      <c r="M38" s="51">
        <v>54.356000000000051</v>
      </c>
      <c r="N38" s="3">
        <v>0.18770599999999998</v>
      </c>
      <c r="O38" s="131"/>
      <c r="Q38" s="68">
        <v>1.6500000000000001E-2</v>
      </c>
      <c r="S38" s="72"/>
      <c r="T38" s="55"/>
    </row>
    <row r="39" spans="1:20" x14ac:dyDescent="0.3">
      <c r="A39" s="1">
        <v>38</v>
      </c>
      <c r="B39" s="38">
        <v>26.613773599999998</v>
      </c>
      <c r="C39" s="51">
        <v>137.89519999999999</v>
      </c>
      <c r="D39" s="1">
        <v>2</v>
      </c>
      <c r="E39" s="55">
        <f t="shared" si="0"/>
        <v>152.39999999999998</v>
      </c>
      <c r="F39" s="57">
        <v>381</v>
      </c>
      <c r="G39" s="57">
        <v>317.51574799999997</v>
      </c>
      <c r="H39" s="55">
        <v>25.399999999999977</v>
      </c>
      <c r="I39" s="51">
        <v>25.368503999999998</v>
      </c>
      <c r="J39" s="101">
        <f t="shared" si="1"/>
        <v>1010.3907624608851</v>
      </c>
      <c r="K39">
        <f t="shared" si="2"/>
        <v>6.3662450489981968</v>
      </c>
      <c r="L39">
        <f t="shared" si="3"/>
        <v>1.7401209044800001E-2</v>
      </c>
      <c r="M39" s="51">
        <v>50.800000000000011</v>
      </c>
      <c r="N39" s="3">
        <v>0.21844</v>
      </c>
      <c r="O39" s="131"/>
      <c r="Q39" s="68">
        <v>2.0299999999999999E-2</v>
      </c>
      <c r="S39" s="72"/>
      <c r="T39" s="55"/>
    </row>
    <row r="40" spans="1:20" x14ac:dyDescent="0.3">
      <c r="A40" s="1">
        <v>39</v>
      </c>
      <c r="B40" s="38">
        <v>26.6827212</v>
      </c>
      <c r="C40" s="51">
        <v>137.89519999999999</v>
      </c>
      <c r="D40" s="1">
        <v>2</v>
      </c>
      <c r="E40" s="55">
        <f t="shared" si="0"/>
        <v>152.39999999999998</v>
      </c>
      <c r="F40" s="57">
        <v>381</v>
      </c>
      <c r="G40" s="57">
        <v>317.51574799999997</v>
      </c>
      <c r="H40" s="55">
        <v>25.399999999999977</v>
      </c>
      <c r="I40" s="51">
        <v>25.368503999999998</v>
      </c>
      <c r="J40" s="101">
        <f t="shared" si="1"/>
        <v>1010.3907624608851</v>
      </c>
      <c r="K40">
        <f t="shared" si="2"/>
        <v>6.3662450489981968</v>
      </c>
      <c r="L40">
        <f t="shared" si="3"/>
        <v>1.7401209044800001E-2</v>
      </c>
      <c r="M40" s="51">
        <v>50.800000000000011</v>
      </c>
      <c r="N40" s="3">
        <v>0.13080999999999998</v>
      </c>
      <c r="O40" s="131"/>
      <c r="Q40" s="68">
        <v>2.0299999999999999E-2</v>
      </c>
      <c r="S40" s="72"/>
      <c r="T40" s="55"/>
    </row>
    <row r="41" spans="1:20" x14ac:dyDescent="0.3">
      <c r="A41" s="1">
        <v>40</v>
      </c>
      <c r="B41" s="38">
        <v>28.130620799999999</v>
      </c>
      <c r="C41" s="51">
        <v>137.89519999999999</v>
      </c>
      <c r="D41" s="1">
        <v>2</v>
      </c>
      <c r="E41" s="55">
        <f t="shared" si="0"/>
        <v>152.39999999999998</v>
      </c>
      <c r="F41" s="57">
        <v>381</v>
      </c>
      <c r="G41" s="57">
        <v>330.11516399999999</v>
      </c>
      <c r="H41" s="55">
        <v>39.623999999999967</v>
      </c>
      <c r="I41" s="51">
        <v>28.617671999999995</v>
      </c>
      <c r="J41" s="101">
        <f t="shared" si="1"/>
        <v>1285.7847065983465</v>
      </c>
      <c r="K41">
        <f t="shared" si="2"/>
        <v>10.107409654210903</v>
      </c>
      <c r="L41">
        <f t="shared" si="3"/>
        <v>2.2144114235199994E-2</v>
      </c>
      <c r="M41" s="51">
        <v>36.576000000000022</v>
      </c>
      <c r="N41" s="3">
        <v>8.6867999999999987E-2</v>
      </c>
      <c r="O41" s="131"/>
      <c r="Q41" s="68">
        <v>2.46E-2</v>
      </c>
      <c r="S41" s="72"/>
      <c r="T41" s="55"/>
    </row>
    <row r="42" spans="1:20" x14ac:dyDescent="0.3">
      <c r="A42" s="1">
        <v>41</v>
      </c>
      <c r="B42" s="38">
        <v>28.5443064</v>
      </c>
      <c r="C42" s="51">
        <v>137.89519999999999</v>
      </c>
      <c r="D42" s="1">
        <v>2</v>
      </c>
      <c r="E42" s="55">
        <f t="shared" si="0"/>
        <v>152.39999999999998</v>
      </c>
      <c r="F42" s="57">
        <v>381</v>
      </c>
      <c r="G42" s="57">
        <v>314.357258</v>
      </c>
      <c r="H42" s="55">
        <v>23.875999999999976</v>
      </c>
      <c r="I42" s="51">
        <v>28.637484000000001</v>
      </c>
      <c r="J42" s="101">
        <f t="shared" si="1"/>
        <v>1287.5656190649022</v>
      </c>
      <c r="K42">
        <f t="shared" si="2"/>
        <v>7.728167121724387</v>
      </c>
      <c r="L42">
        <f t="shared" si="3"/>
        <v>2.2174785566800009E-2</v>
      </c>
      <c r="M42" s="51">
        <v>52.324000000000012</v>
      </c>
      <c r="N42" s="3">
        <v>0.140462</v>
      </c>
      <c r="O42" s="131"/>
      <c r="Q42" s="68">
        <v>2.58E-2</v>
      </c>
      <c r="S42" s="72"/>
      <c r="T42" s="55"/>
    </row>
    <row r="43" spans="1:20" x14ac:dyDescent="0.3">
      <c r="A43" s="1">
        <v>42</v>
      </c>
      <c r="B43" s="38">
        <v>27.234302</v>
      </c>
      <c r="C43" s="51">
        <v>137.89519999999999</v>
      </c>
      <c r="D43" s="1">
        <v>2</v>
      </c>
      <c r="E43" s="55">
        <f t="shared" si="0"/>
        <v>152.39999999999998</v>
      </c>
      <c r="F43" s="57">
        <v>381</v>
      </c>
      <c r="G43" s="57">
        <v>314.357258</v>
      </c>
      <c r="H43" s="55">
        <v>23.875999999999976</v>
      </c>
      <c r="I43" s="51">
        <v>28.637484000000001</v>
      </c>
      <c r="J43" s="101">
        <f t="shared" si="1"/>
        <v>1287.5656190649022</v>
      </c>
      <c r="K43">
        <f t="shared" si="2"/>
        <v>7.728167121724387</v>
      </c>
      <c r="L43">
        <f t="shared" si="3"/>
        <v>2.2174785566800009E-2</v>
      </c>
      <c r="M43" s="51">
        <v>52.324000000000012</v>
      </c>
      <c r="N43" s="3">
        <v>0.10388599999999999</v>
      </c>
      <c r="O43" s="131"/>
      <c r="Q43" s="68">
        <v>2.58E-2</v>
      </c>
      <c r="S43" s="72"/>
      <c r="T43" s="55"/>
    </row>
    <row r="44" spans="1:20" x14ac:dyDescent="0.3">
      <c r="A44" s="1">
        <v>43</v>
      </c>
      <c r="B44" s="38">
        <v>28.5443064</v>
      </c>
      <c r="C44" s="51">
        <v>137.89519999999999</v>
      </c>
      <c r="D44" s="1">
        <v>2</v>
      </c>
      <c r="E44" s="55">
        <f t="shared" si="0"/>
        <v>152.39999999999998</v>
      </c>
      <c r="F44" s="57">
        <v>381</v>
      </c>
      <c r="G44" s="57">
        <v>314.357258</v>
      </c>
      <c r="H44" s="55">
        <v>23.875999999999976</v>
      </c>
      <c r="I44" s="51">
        <v>28.637484000000001</v>
      </c>
      <c r="J44" s="101">
        <f t="shared" si="1"/>
        <v>1287.5656190649022</v>
      </c>
      <c r="K44">
        <f t="shared" si="2"/>
        <v>7.728167121724387</v>
      </c>
      <c r="L44">
        <f t="shared" si="3"/>
        <v>2.2174785566800009E-2</v>
      </c>
      <c r="M44" s="51">
        <v>52.324000000000012</v>
      </c>
      <c r="N44" s="3">
        <v>0.112776</v>
      </c>
      <c r="O44" s="131"/>
      <c r="Q44" s="68">
        <v>2.58E-2</v>
      </c>
      <c r="S44" s="72"/>
      <c r="T44" s="55"/>
    </row>
    <row r="45" spans="1:20" x14ac:dyDescent="0.3">
      <c r="A45" s="1">
        <v>44</v>
      </c>
      <c r="B45" s="38">
        <v>24.407450399999998</v>
      </c>
      <c r="C45" s="51">
        <v>137.89519999999999</v>
      </c>
      <c r="D45" s="1">
        <v>2</v>
      </c>
      <c r="E45" s="55">
        <f t="shared" si="0"/>
        <v>152.39999999999998</v>
      </c>
      <c r="F45" s="57">
        <v>381</v>
      </c>
      <c r="G45" s="57">
        <v>314.357258</v>
      </c>
      <c r="H45" s="55">
        <v>23.875999999999976</v>
      </c>
      <c r="I45" s="51">
        <v>28.637484000000001</v>
      </c>
      <c r="J45" s="101">
        <f t="shared" si="1"/>
        <v>1287.5656190649022</v>
      </c>
      <c r="K45">
        <f t="shared" si="2"/>
        <v>7.728167121724387</v>
      </c>
      <c r="L45">
        <f t="shared" si="3"/>
        <v>2.2174785566800009E-2</v>
      </c>
      <c r="M45" s="51">
        <v>52.324000000000012</v>
      </c>
      <c r="N45" s="3">
        <v>0.102616</v>
      </c>
      <c r="O45" s="131"/>
      <c r="Q45" s="68">
        <v>2.58E-2</v>
      </c>
      <c r="S45" s="72"/>
      <c r="T45" s="55"/>
    </row>
    <row r="46" spans="1:20" x14ac:dyDescent="0.3">
      <c r="A46" s="1">
        <v>45</v>
      </c>
      <c r="B46" s="39">
        <v>27.303249600000001</v>
      </c>
      <c r="C46" s="51">
        <v>137.89519999999999</v>
      </c>
      <c r="D46" s="1">
        <v>1</v>
      </c>
      <c r="E46" s="55">
        <f t="shared" si="0"/>
        <v>152.39999999999998</v>
      </c>
      <c r="F46" s="57">
        <v>584.19999999999993</v>
      </c>
      <c r="G46" s="57">
        <v>513.72046099999989</v>
      </c>
      <c r="H46" s="55">
        <v>43.687999999999988</v>
      </c>
      <c r="I46" s="51">
        <v>32.247078000000002</v>
      </c>
      <c r="J46" s="101">
        <f t="shared" si="1"/>
        <v>816.30112103739611</v>
      </c>
      <c r="K46">
        <f t="shared" si="2"/>
        <v>4.6328402973089569</v>
      </c>
      <c r="L46">
        <f t="shared" si="3"/>
        <v>9.1686178851195701E-3</v>
      </c>
      <c r="M46" s="51">
        <v>54.355999999999995</v>
      </c>
      <c r="N46" s="3">
        <v>0.16281399999999999</v>
      </c>
      <c r="O46" s="131"/>
      <c r="Q46" s="68">
        <v>1.01E-2</v>
      </c>
      <c r="S46" s="72"/>
      <c r="T46" s="55"/>
    </row>
    <row r="47" spans="1:20" x14ac:dyDescent="0.3">
      <c r="A47" s="1">
        <v>46</v>
      </c>
      <c r="B47" s="39">
        <v>24.959031199999998</v>
      </c>
      <c r="C47" s="51">
        <v>137.89519999999999</v>
      </c>
      <c r="D47" s="1">
        <v>1</v>
      </c>
      <c r="E47" s="55">
        <f t="shared" si="0"/>
        <v>152.39999999999998</v>
      </c>
      <c r="F47" s="57">
        <v>584.19999999999993</v>
      </c>
      <c r="G47" s="57">
        <v>513.72046099999989</v>
      </c>
      <c r="H47" s="55">
        <v>43.687999999999988</v>
      </c>
      <c r="I47" s="51">
        <v>32.247078000000002</v>
      </c>
      <c r="J47" s="101">
        <f t="shared" si="1"/>
        <v>816.30112103739611</v>
      </c>
      <c r="K47">
        <f t="shared" si="2"/>
        <v>4.6328402973089569</v>
      </c>
      <c r="L47">
        <f t="shared" si="3"/>
        <v>9.1686178851195701E-3</v>
      </c>
      <c r="M47" s="51">
        <v>54.355999999999995</v>
      </c>
      <c r="N47" s="3">
        <v>0.16078199999999998</v>
      </c>
      <c r="O47" s="131"/>
      <c r="Q47" s="68">
        <v>1.01E-2</v>
      </c>
      <c r="S47" s="72"/>
      <c r="T47" s="55"/>
    </row>
    <row r="48" spans="1:20" x14ac:dyDescent="0.3">
      <c r="A48" s="1">
        <v>47</v>
      </c>
      <c r="B48" s="39">
        <v>27.0964068</v>
      </c>
      <c r="C48" s="51">
        <v>137.89519999999999</v>
      </c>
      <c r="D48" s="1">
        <v>1</v>
      </c>
      <c r="E48" s="55">
        <f t="shared" si="0"/>
        <v>152.39999999999998</v>
      </c>
      <c r="F48" s="57">
        <v>584.19999999999993</v>
      </c>
      <c r="G48" s="57">
        <v>497.72214400000001</v>
      </c>
      <c r="H48" s="55">
        <v>15.240000000000123</v>
      </c>
      <c r="I48" s="51">
        <v>35.795712000000002</v>
      </c>
      <c r="J48" s="101">
        <f t="shared" si="1"/>
        <v>1005.8464031057512</v>
      </c>
      <c r="K48">
        <f t="shared" si="2"/>
        <v>4.6525038877270601</v>
      </c>
      <c r="L48">
        <f t="shared" si="3"/>
        <v>1.1297572774956527E-2</v>
      </c>
      <c r="M48" s="51">
        <v>68.579999999999927</v>
      </c>
      <c r="N48" s="3">
        <v>0.17500599999999999</v>
      </c>
      <c r="O48" s="131"/>
      <c r="Q48" s="68">
        <v>1.2800000000000001E-2</v>
      </c>
      <c r="S48" s="72"/>
      <c r="T48" s="55"/>
    </row>
    <row r="49" spans="1:20" x14ac:dyDescent="0.3">
      <c r="A49" s="1">
        <v>48</v>
      </c>
      <c r="B49" s="39">
        <v>25.165873999999999</v>
      </c>
      <c r="C49" s="51">
        <v>137.89519999999999</v>
      </c>
      <c r="D49" s="1">
        <v>2</v>
      </c>
      <c r="E49" s="55">
        <f t="shared" si="0"/>
        <v>152.39999999999998</v>
      </c>
      <c r="F49" s="57">
        <v>584.19999999999993</v>
      </c>
      <c r="G49" s="57">
        <v>517.55916300000001</v>
      </c>
      <c r="H49" s="55">
        <v>23.876000000000033</v>
      </c>
      <c r="I49" s="51">
        <v>28.633674000000006</v>
      </c>
      <c r="J49" s="101">
        <f t="shared" si="1"/>
        <v>1287.2230401790939</v>
      </c>
      <c r="K49">
        <f t="shared" si="2"/>
        <v>7.7263317696870795</v>
      </c>
      <c r="L49">
        <f t="shared" si="3"/>
        <v>1.4457968859978272E-2</v>
      </c>
      <c r="M49" s="51">
        <v>52.323999999999955</v>
      </c>
      <c r="N49" s="3">
        <v>0.13284199999999999</v>
      </c>
      <c r="O49" s="131"/>
      <c r="Q49" s="68">
        <v>1.5900000000000001E-2</v>
      </c>
      <c r="S49" s="72"/>
      <c r="T49" s="55"/>
    </row>
    <row r="50" spans="1:20" x14ac:dyDescent="0.3">
      <c r="A50" s="1">
        <v>49</v>
      </c>
      <c r="B50" s="39">
        <v>24.545345599999997</v>
      </c>
      <c r="C50" s="51">
        <v>137.89519999999999</v>
      </c>
      <c r="D50" s="1">
        <v>2</v>
      </c>
      <c r="E50" s="55">
        <f t="shared" si="0"/>
        <v>152.39999999999998</v>
      </c>
      <c r="F50" s="57">
        <v>584.19999999999993</v>
      </c>
      <c r="G50" s="57">
        <v>517.55916300000001</v>
      </c>
      <c r="H50" s="55">
        <v>23.876000000000033</v>
      </c>
      <c r="I50" s="51">
        <v>28.633674000000006</v>
      </c>
      <c r="J50" s="101">
        <f t="shared" si="1"/>
        <v>1287.2230401790939</v>
      </c>
      <c r="K50">
        <f t="shared" si="2"/>
        <v>7.7263317696870795</v>
      </c>
      <c r="L50">
        <f t="shared" si="3"/>
        <v>1.4457968859978272E-2</v>
      </c>
      <c r="M50" s="51">
        <v>52.323999999999955</v>
      </c>
      <c r="N50" s="3">
        <v>9.3726000000000004E-2</v>
      </c>
      <c r="O50" s="131"/>
      <c r="Q50" s="68">
        <v>1.5900000000000001E-2</v>
      </c>
      <c r="S50" s="72"/>
      <c r="T50" s="55"/>
    </row>
    <row r="51" spans="1:20" x14ac:dyDescent="0.3">
      <c r="A51" s="1">
        <v>50</v>
      </c>
      <c r="B51" s="39">
        <v>24.752188399999998</v>
      </c>
      <c r="C51" s="51">
        <v>137.89519999999999</v>
      </c>
      <c r="D51" s="1">
        <v>2</v>
      </c>
      <c r="E51" s="55">
        <f t="shared" si="0"/>
        <v>152.39999999999998</v>
      </c>
      <c r="F51" s="57">
        <v>584.19999999999993</v>
      </c>
      <c r="G51" s="57">
        <v>510.41299999999995</v>
      </c>
      <c r="H51" s="55">
        <v>20.319999999999993</v>
      </c>
      <c r="I51" s="51">
        <v>35.814</v>
      </c>
      <c r="J51" s="101">
        <f t="shared" si="1"/>
        <v>2013.7488757200001</v>
      </c>
      <c r="K51">
        <f t="shared" si="2"/>
        <v>10.916551022375218</v>
      </c>
      <c r="L51">
        <f t="shared" si="3"/>
        <v>2.261823913043479E-2</v>
      </c>
      <c r="M51" s="51">
        <v>55.879999999999995</v>
      </c>
      <c r="N51" s="3">
        <v>0.12573000000000001</v>
      </c>
      <c r="O51" s="131"/>
      <c r="Q51" s="68">
        <v>2.5000000000000001E-2</v>
      </c>
      <c r="S51" s="72"/>
      <c r="T51" s="55"/>
    </row>
    <row r="52" spans="1:20" x14ac:dyDescent="0.3">
      <c r="A52" s="1">
        <v>51</v>
      </c>
      <c r="B52" s="39">
        <v>27.854830399999997</v>
      </c>
      <c r="C52" s="51">
        <v>137.89519999999999</v>
      </c>
      <c r="D52" s="1">
        <v>2</v>
      </c>
      <c r="E52" s="55">
        <f t="shared" si="0"/>
        <v>152.39999999999998</v>
      </c>
      <c r="F52" s="57">
        <v>584.19999999999993</v>
      </c>
      <c r="G52" s="57">
        <v>510.41299999999995</v>
      </c>
      <c r="H52" s="55">
        <v>20.319999999999993</v>
      </c>
      <c r="I52" s="51">
        <v>35.814</v>
      </c>
      <c r="J52" s="101">
        <f t="shared" si="1"/>
        <v>2013.7488757200001</v>
      </c>
      <c r="K52">
        <f t="shared" si="2"/>
        <v>10.916551022375218</v>
      </c>
      <c r="L52">
        <f t="shared" si="3"/>
        <v>2.261823913043479E-2</v>
      </c>
      <c r="M52" s="51">
        <v>55.879999999999995</v>
      </c>
      <c r="N52" s="3">
        <v>0.18542</v>
      </c>
      <c r="O52" s="131"/>
      <c r="Q52" s="68">
        <v>2.5000000000000001E-2</v>
      </c>
      <c r="S52" s="72"/>
      <c r="T52" s="55"/>
    </row>
    <row r="53" spans="1:20" x14ac:dyDescent="0.3">
      <c r="A53" s="1">
        <v>52</v>
      </c>
      <c r="B53" s="40">
        <v>25.441664400000001</v>
      </c>
      <c r="C53" s="40">
        <f>25000*0.00689476</f>
        <v>172.369</v>
      </c>
      <c r="D53" s="1">
        <v>1</v>
      </c>
      <c r="E53" s="55">
        <f t="shared" si="0"/>
        <v>152.39999999999998</v>
      </c>
      <c r="F53" s="58">
        <v>381</v>
      </c>
      <c r="G53" s="58">
        <v>317.50126999999998</v>
      </c>
      <c r="H53" s="55">
        <v>50.799999999999955</v>
      </c>
      <c r="I53" s="59">
        <v>25.397459999999999</v>
      </c>
      <c r="J53" s="101">
        <f t="shared" si="1"/>
        <v>506.34931494450603</v>
      </c>
      <c r="K53">
        <f t="shared" si="2"/>
        <v>3.1896657772179435</v>
      </c>
      <c r="L53">
        <f t="shared" si="3"/>
        <v>8.7204778650000012E-3</v>
      </c>
      <c r="M53" s="59">
        <v>50.800000000000011</v>
      </c>
      <c r="N53" s="3">
        <v>0.16992599999999999</v>
      </c>
      <c r="O53" s="131"/>
      <c r="Q53" s="68">
        <v>1.01E-2</v>
      </c>
      <c r="S53" s="72"/>
      <c r="T53" s="55"/>
    </row>
    <row r="54" spans="1:20" x14ac:dyDescent="0.3">
      <c r="A54" s="1">
        <v>53</v>
      </c>
      <c r="B54" s="40">
        <v>25.855349999999998</v>
      </c>
      <c r="C54" s="40">
        <f t="shared" ref="C54:C78" si="4">25000*0.00689476</f>
        <v>172.369</v>
      </c>
      <c r="D54" s="1">
        <v>1</v>
      </c>
      <c r="E54" s="55">
        <f t="shared" si="0"/>
        <v>152.39999999999998</v>
      </c>
      <c r="F54" s="58">
        <v>381</v>
      </c>
      <c r="G54" s="58">
        <v>317.50126999999998</v>
      </c>
      <c r="H54" s="55">
        <v>50.799999999999955</v>
      </c>
      <c r="I54" s="59">
        <v>25.397459999999999</v>
      </c>
      <c r="J54" s="101">
        <f t="shared" si="1"/>
        <v>506.34931494450603</v>
      </c>
      <c r="K54">
        <f t="shared" si="2"/>
        <v>3.1896657772179435</v>
      </c>
      <c r="L54">
        <f t="shared" si="3"/>
        <v>8.7204778650000012E-3</v>
      </c>
      <c r="M54" s="59">
        <v>50.800000000000011</v>
      </c>
      <c r="N54" s="3">
        <v>0.19532599999999997</v>
      </c>
      <c r="O54" s="131"/>
      <c r="Q54" s="68">
        <v>1.01E-2</v>
      </c>
      <c r="S54" s="72"/>
      <c r="T54" s="55"/>
    </row>
    <row r="55" spans="1:20" x14ac:dyDescent="0.3">
      <c r="A55" s="1">
        <v>54</v>
      </c>
      <c r="B55" s="40">
        <v>30.061153599999997</v>
      </c>
      <c r="C55" s="40">
        <f t="shared" si="4"/>
        <v>172.369</v>
      </c>
      <c r="D55" s="1">
        <v>2</v>
      </c>
      <c r="E55" s="55">
        <f t="shared" si="0"/>
        <v>152.39999999999998</v>
      </c>
      <c r="F55" s="58">
        <v>381</v>
      </c>
      <c r="G55" s="58">
        <v>330.33842999999996</v>
      </c>
      <c r="H55" s="55">
        <v>35.051999999999964</v>
      </c>
      <c r="I55" s="59">
        <v>19.027139999999996</v>
      </c>
      <c r="J55" s="101">
        <f t="shared" si="1"/>
        <v>568.39032882997174</v>
      </c>
      <c r="K55">
        <f t="shared" si="2"/>
        <v>4.4877435012769737</v>
      </c>
      <c r="L55">
        <f t="shared" si="3"/>
        <v>9.7889641299999958E-3</v>
      </c>
      <c r="M55" s="59">
        <v>41.148000000000025</v>
      </c>
      <c r="N55" s="3">
        <v>0.16967199999999999</v>
      </c>
      <c r="O55" s="131"/>
      <c r="Q55" s="68">
        <v>1.0999999999999999E-2</v>
      </c>
      <c r="S55" s="72"/>
      <c r="T55" s="55"/>
    </row>
    <row r="56" spans="1:20" x14ac:dyDescent="0.3">
      <c r="A56" s="1">
        <v>55</v>
      </c>
      <c r="B56" s="40">
        <v>29.233782399999999</v>
      </c>
      <c r="C56" s="40">
        <f t="shared" si="4"/>
        <v>172.369</v>
      </c>
      <c r="D56" s="1">
        <v>2</v>
      </c>
      <c r="E56" s="55">
        <f t="shared" si="0"/>
        <v>152.39999999999998</v>
      </c>
      <c r="F56" s="58">
        <v>381</v>
      </c>
      <c r="G56" s="58">
        <v>330.33842999999996</v>
      </c>
      <c r="H56" s="55">
        <v>35.051999999999964</v>
      </c>
      <c r="I56" s="59">
        <v>19.027139999999996</v>
      </c>
      <c r="J56" s="101">
        <f t="shared" si="1"/>
        <v>568.39032882997174</v>
      </c>
      <c r="K56">
        <f t="shared" si="2"/>
        <v>4.4877435012769737</v>
      </c>
      <c r="L56">
        <f t="shared" si="3"/>
        <v>9.7889641299999958E-3</v>
      </c>
      <c r="M56" s="59">
        <v>41.148000000000025</v>
      </c>
      <c r="N56" s="3">
        <v>0.10667999999999998</v>
      </c>
      <c r="O56" s="131"/>
      <c r="Q56" s="68">
        <v>1.0999999999999999E-2</v>
      </c>
      <c r="S56" s="72"/>
      <c r="T56" s="55"/>
    </row>
    <row r="57" spans="1:20" x14ac:dyDescent="0.3">
      <c r="A57" s="1">
        <v>56</v>
      </c>
      <c r="B57" s="40">
        <v>27.165354399999998</v>
      </c>
      <c r="C57" s="40">
        <f t="shared" si="4"/>
        <v>172.369</v>
      </c>
      <c r="D57" s="1">
        <v>2</v>
      </c>
      <c r="E57" s="55">
        <f t="shared" si="0"/>
        <v>152.39999999999998</v>
      </c>
      <c r="F57" s="58">
        <v>381</v>
      </c>
      <c r="G57" s="58">
        <v>323.98614400000002</v>
      </c>
      <c r="H57" s="55">
        <v>28.701999999999998</v>
      </c>
      <c r="I57" s="59">
        <v>19.031711999999999</v>
      </c>
      <c r="J57" s="101">
        <f t="shared" si="1"/>
        <v>568.66351679198203</v>
      </c>
      <c r="K57">
        <f t="shared" si="2"/>
        <v>3.9896513352261755</v>
      </c>
      <c r="L57">
        <f t="shared" si="3"/>
        <v>9.7936690432000005E-3</v>
      </c>
      <c r="M57" s="59">
        <v>47.49799999999999</v>
      </c>
      <c r="N57" s="3">
        <v>0.12801599999999999</v>
      </c>
      <c r="O57" s="131"/>
      <c r="Q57" s="68">
        <v>1.12E-2</v>
      </c>
      <c r="S57" s="72"/>
      <c r="T57" s="55"/>
    </row>
    <row r="58" spans="1:20" x14ac:dyDescent="0.3">
      <c r="A58" s="1">
        <v>57</v>
      </c>
      <c r="B58" s="40">
        <v>26.820616399999999</v>
      </c>
      <c r="C58" s="40">
        <f t="shared" si="4"/>
        <v>172.369</v>
      </c>
      <c r="D58" s="1">
        <v>2</v>
      </c>
      <c r="E58" s="55">
        <f t="shared" si="0"/>
        <v>152.39999999999998</v>
      </c>
      <c r="F58" s="58">
        <v>381</v>
      </c>
      <c r="G58" s="58">
        <v>346.01505599999996</v>
      </c>
      <c r="H58" s="55">
        <v>52.323999999999955</v>
      </c>
      <c r="I58" s="59">
        <v>22.217887999999999</v>
      </c>
      <c r="J58" s="101">
        <f t="shared" si="1"/>
        <v>775.00623907345403</v>
      </c>
      <c r="K58">
        <f t="shared" si="2"/>
        <v>8.8610259210185163</v>
      </c>
      <c r="L58">
        <f t="shared" si="3"/>
        <v>1.3347356367644446E-2</v>
      </c>
      <c r="M58" s="59">
        <v>23.876000000000033</v>
      </c>
      <c r="N58" s="3">
        <v>9.1947999999999988E-2</v>
      </c>
      <c r="O58" s="131"/>
      <c r="Q58" s="68">
        <v>1.4200000000000001E-2</v>
      </c>
      <c r="S58" s="72"/>
      <c r="T58" s="55"/>
    </row>
    <row r="59" spans="1:20" x14ac:dyDescent="0.3">
      <c r="A59" s="1">
        <v>58</v>
      </c>
      <c r="B59" s="40">
        <v>22.407969999999999</v>
      </c>
      <c r="C59" s="40">
        <f t="shared" si="4"/>
        <v>172.369</v>
      </c>
      <c r="D59" s="1">
        <v>2</v>
      </c>
      <c r="E59" s="55">
        <f t="shared" si="0"/>
        <v>152.39999999999998</v>
      </c>
      <c r="F59" s="58">
        <v>381</v>
      </c>
      <c r="G59" s="58">
        <v>320.62889899999999</v>
      </c>
      <c r="H59" s="55">
        <v>26.923999999999978</v>
      </c>
      <c r="I59" s="59">
        <v>22.190201999999999</v>
      </c>
      <c r="J59" s="101">
        <f t="shared" si="1"/>
        <v>773.07595173726236</v>
      </c>
      <c r="K59">
        <f t="shared" si="2"/>
        <v>5.1221590392215122</v>
      </c>
      <c r="L59">
        <f t="shared" si="3"/>
        <v>1.3314112463700003E-2</v>
      </c>
      <c r="M59" s="59">
        <v>49.27600000000001</v>
      </c>
      <c r="N59" s="3">
        <v>0.146812</v>
      </c>
      <c r="O59" s="131"/>
      <c r="Q59" s="68">
        <v>1.5299999999999999E-2</v>
      </c>
      <c r="S59" s="72"/>
      <c r="T59" s="55"/>
    </row>
    <row r="60" spans="1:20" x14ac:dyDescent="0.3">
      <c r="A60" s="1">
        <v>59</v>
      </c>
      <c r="B60" s="40">
        <v>29.509572800000001</v>
      </c>
      <c r="C60" s="40">
        <f t="shared" si="4"/>
        <v>172.369</v>
      </c>
      <c r="D60" s="1">
        <v>2</v>
      </c>
      <c r="E60" s="55">
        <f t="shared" si="0"/>
        <v>152.39999999999998</v>
      </c>
      <c r="F60" s="58">
        <v>381</v>
      </c>
      <c r="G60" s="58">
        <v>320.62889899999999</v>
      </c>
      <c r="H60" s="55">
        <v>26.923999999999978</v>
      </c>
      <c r="I60" s="59">
        <v>22.190201999999999</v>
      </c>
      <c r="J60" s="101">
        <f t="shared" si="1"/>
        <v>773.07595173726236</v>
      </c>
      <c r="K60">
        <f t="shared" si="2"/>
        <v>5.1221590392215122</v>
      </c>
      <c r="L60">
        <f t="shared" si="3"/>
        <v>1.3314112463700003E-2</v>
      </c>
      <c r="M60" s="59">
        <v>49.27600000000001</v>
      </c>
      <c r="N60" s="3">
        <v>0.11810999999999998</v>
      </c>
      <c r="O60" s="131"/>
      <c r="Q60" s="68">
        <v>1.5299999999999999E-2</v>
      </c>
      <c r="S60" s="72"/>
      <c r="T60" s="55"/>
    </row>
    <row r="61" spans="1:20" x14ac:dyDescent="0.3">
      <c r="A61" s="1">
        <v>60</v>
      </c>
      <c r="B61" s="40">
        <v>29.026939599999999</v>
      </c>
      <c r="C61" s="40">
        <f t="shared" si="4"/>
        <v>172.369</v>
      </c>
      <c r="D61" s="1">
        <v>2</v>
      </c>
      <c r="E61" s="55">
        <f t="shared" si="0"/>
        <v>152.39999999999998</v>
      </c>
      <c r="F61" s="58">
        <v>381</v>
      </c>
      <c r="G61" s="58">
        <v>320.62889899999999</v>
      </c>
      <c r="H61" s="55">
        <v>26.923999999999978</v>
      </c>
      <c r="I61" s="59">
        <v>22.190201999999999</v>
      </c>
      <c r="J61" s="101">
        <f t="shared" si="1"/>
        <v>773.07595173726236</v>
      </c>
      <c r="K61">
        <f t="shared" si="2"/>
        <v>5.1221590392215122</v>
      </c>
      <c r="L61">
        <f t="shared" si="3"/>
        <v>1.3314112463700003E-2</v>
      </c>
      <c r="M61" s="59">
        <v>49.27600000000001</v>
      </c>
      <c r="N61" s="3">
        <v>0.14782799999999999</v>
      </c>
      <c r="O61" s="131"/>
      <c r="Q61" s="68">
        <v>1.5299999999999999E-2</v>
      </c>
      <c r="S61" s="72"/>
      <c r="T61" s="55"/>
    </row>
    <row r="62" spans="1:20" x14ac:dyDescent="0.3">
      <c r="A62" s="1">
        <v>61</v>
      </c>
      <c r="B62" s="40">
        <v>27.854830399999997</v>
      </c>
      <c r="C62" s="40">
        <f t="shared" si="4"/>
        <v>172.369</v>
      </c>
      <c r="D62" s="1">
        <v>2</v>
      </c>
      <c r="E62" s="55">
        <f t="shared" si="0"/>
        <v>152.39999999999998</v>
      </c>
      <c r="F62" s="58">
        <v>381</v>
      </c>
      <c r="G62" s="58">
        <v>320.62889899999999</v>
      </c>
      <c r="H62" s="55">
        <v>26.923999999999978</v>
      </c>
      <c r="I62" s="59">
        <v>22.190201999999999</v>
      </c>
      <c r="J62" s="101">
        <f t="shared" si="1"/>
        <v>773.07595173726236</v>
      </c>
      <c r="K62">
        <f t="shared" si="2"/>
        <v>5.1221590392215122</v>
      </c>
      <c r="L62">
        <f t="shared" si="3"/>
        <v>1.3314112463700003E-2</v>
      </c>
      <c r="M62" s="59">
        <v>49.27600000000001</v>
      </c>
      <c r="N62" s="3">
        <v>0.19659599999999999</v>
      </c>
      <c r="O62" s="131"/>
      <c r="Q62" s="68">
        <v>1.5299999999999999E-2</v>
      </c>
      <c r="S62" s="72"/>
      <c r="T62" s="55"/>
    </row>
    <row r="63" spans="1:20" x14ac:dyDescent="0.3">
      <c r="A63" s="1">
        <v>62</v>
      </c>
      <c r="B63" s="40">
        <v>24.614293199999999</v>
      </c>
      <c r="C63" s="40">
        <f t="shared" si="4"/>
        <v>172.369</v>
      </c>
      <c r="D63" s="1">
        <v>1</v>
      </c>
      <c r="E63" s="55">
        <f t="shared" si="0"/>
        <v>152.39999999999998</v>
      </c>
      <c r="F63" s="58">
        <v>381</v>
      </c>
      <c r="G63" s="58">
        <v>310.52960499999995</v>
      </c>
      <c r="H63" s="55">
        <v>43.687999999999874</v>
      </c>
      <c r="I63" s="59">
        <v>32.228790000000004</v>
      </c>
      <c r="J63" s="101">
        <f t="shared" si="1"/>
        <v>815.3755003183187</v>
      </c>
      <c r="K63">
        <f t="shared" si="2"/>
        <v>4.6281874839402732</v>
      </c>
      <c r="L63">
        <f t="shared" si="3"/>
        <v>1.4042606146250004E-2</v>
      </c>
      <c r="M63" s="59">
        <v>54.356000000000051</v>
      </c>
      <c r="N63" s="3">
        <v>0.22987000000000002</v>
      </c>
      <c r="O63" s="131"/>
      <c r="Q63" s="68">
        <v>1.6500000000000001E-2</v>
      </c>
      <c r="S63" s="72"/>
      <c r="T63" s="55"/>
    </row>
    <row r="64" spans="1:20" x14ac:dyDescent="0.3">
      <c r="A64" s="1">
        <v>63</v>
      </c>
      <c r="B64" s="40">
        <v>28.682201599999999</v>
      </c>
      <c r="C64" s="40">
        <f t="shared" si="4"/>
        <v>172.369</v>
      </c>
      <c r="D64" s="1">
        <v>1</v>
      </c>
      <c r="E64" s="55">
        <f t="shared" si="0"/>
        <v>152.39999999999998</v>
      </c>
      <c r="F64" s="58">
        <v>381</v>
      </c>
      <c r="G64" s="58">
        <v>310.52960499999995</v>
      </c>
      <c r="H64" s="55">
        <v>43.687999999999874</v>
      </c>
      <c r="I64" s="59">
        <v>32.228790000000004</v>
      </c>
      <c r="J64" s="101">
        <f t="shared" si="1"/>
        <v>815.3755003183187</v>
      </c>
      <c r="K64">
        <f t="shared" si="2"/>
        <v>4.6281874839402732</v>
      </c>
      <c r="L64">
        <f t="shared" si="3"/>
        <v>1.4042606146250004E-2</v>
      </c>
      <c r="M64" s="59">
        <v>54.356000000000051</v>
      </c>
      <c r="N64" s="3">
        <v>0.23901399999999998</v>
      </c>
      <c r="O64" s="131"/>
      <c r="Q64" s="68">
        <v>1.6500000000000001E-2</v>
      </c>
      <c r="S64" s="72"/>
      <c r="T64" s="55"/>
    </row>
    <row r="65" spans="1:20" x14ac:dyDescent="0.3">
      <c r="A65" s="1">
        <v>64</v>
      </c>
      <c r="B65" s="40">
        <v>26.613773599999998</v>
      </c>
      <c r="C65" s="40">
        <f t="shared" si="4"/>
        <v>172.369</v>
      </c>
      <c r="D65" s="1">
        <v>2</v>
      </c>
      <c r="E65" s="55">
        <f t="shared" si="0"/>
        <v>152.39999999999998</v>
      </c>
      <c r="F65" s="58">
        <v>381</v>
      </c>
      <c r="G65" s="58">
        <v>317.51574799999997</v>
      </c>
      <c r="H65" s="55">
        <v>25.399999999999977</v>
      </c>
      <c r="I65" s="59">
        <v>25.368503999999998</v>
      </c>
      <c r="J65" s="101">
        <f t="shared" si="1"/>
        <v>1010.3907624608851</v>
      </c>
      <c r="K65">
        <f t="shared" si="2"/>
        <v>6.3662450489981968</v>
      </c>
      <c r="L65">
        <f t="shared" si="3"/>
        <v>1.7401209044800001E-2</v>
      </c>
      <c r="M65" s="59">
        <v>50.800000000000011</v>
      </c>
      <c r="N65" s="3">
        <v>0.26746199999999998</v>
      </c>
      <c r="O65" s="131"/>
      <c r="Q65" s="68">
        <v>2.0299999999999999E-2</v>
      </c>
      <c r="S65" s="72"/>
      <c r="T65" s="55"/>
    </row>
    <row r="66" spans="1:20" x14ac:dyDescent="0.3">
      <c r="A66" s="1">
        <v>65</v>
      </c>
      <c r="B66" s="40">
        <v>26.6827212</v>
      </c>
      <c r="C66" s="40">
        <f t="shared" si="4"/>
        <v>172.369</v>
      </c>
      <c r="D66" s="1">
        <v>2</v>
      </c>
      <c r="E66" s="55">
        <f t="shared" si="0"/>
        <v>152.39999999999998</v>
      </c>
      <c r="F66" s="58">
        <v>381</v>
      </c>
      <c r="G66" s="58">
        <v>317.51574799999997</v>
      </c>
      <c r="H66" s="55">
        <v>25.399999999999977</v>
      </c>
      <c r="I66" s="59">
        <v>25.368503999999998</v>
      </c>
      <c r="J66" s="101">
        <f t="shared" si="1"/>
        <v>1010.3907624608851</v>
      </c>
      <c r="K66">
        <f t="shared" si="2"/>
        <v>6.3662450489981968</v>
      </c>
      <c r="L66">
        <f t="shared" si="3"/>
        <v>1.7401209044800001E-2</v>
      </c>
      <c r="M66" s="59">
        <v>50.800000000000011</v>
      </c>
      <c r="N66" s="3">
        <v>0.17526</v>
      </c>
      <c r="O66" s="131"/>
      <c r="Q66" s="68">
        <v>2.0299999999999999E-2</v>
      </c>
      <c r="S66" s="72"/>
      <c r="T66" s="55"/>
    </row>
    <row r="67" spans="1:20" x14ac:dyDescent="0.3">
      <c r="A67" s="1">
        <v>66</v>
      </c>
      <c r="B67" s="40">
        <v>28.130620799999999</v>
      </c>
      <c r="C67" s="40">
        <f t="shared" si="4"/>
        <v>172.369</v>
      </c>
      <c r="D67" s="1">
        <v>2</v>
      </c>
      <c r="E67" s="55">
        <f t="shared" ref="E67:E130" si="5">6*25.4</f>
        <v>152.39999999999998</v>
      </c>
      <c r="F67" s="58">
        <v>381</v>
      </c>
      <c r="G67" s="58">
        <v>330.11516399999999</v>
      </c>
      <c r="H67" s="55">
        <v>39.623999999999967</v>
      </c>
      <c r="I67" s="59">
        <v>28.617671999999995</v>
      </c>
      <c r="J67" s="101">
        <f t="shared" ref="J67:J130" si="6">D67*(3.14/4)*I67*I67</f>
        <v>1285.7847065983465</v>
      </c>
      <c r="K67">
        <f t="shared" ref="K67:K130" si="7">J67/(2.5*(F67-G67))</f>
        <v>10.107409654210903</v>
      </c>
      <c r="L67">
        <f t="shared" ref="L67:L130" si="8">J67/(E67*F67)</f>
        <v>2.2144114235199994E-2</v>
      </c>
      <c r="M67" s="59">
        <v>36.576000000000022</v>
      </c>
      <c r="N67" s="3">
        <v>0.11531599999999999</v>
      </c>
      <c r="O67" s="131"/>
      <c r="Q67" s="68">
        <v>2.46E-2</v>
      </c>
      <c r="S67" s="72"/>
      <c r="T67" s="55"/>
    </row>
    <row r="68" spans="1:20" x14ac:dyDescent="0.3">
      <c r="A68" s="1">
        <v>67</v>
      </c>
      <c r="B68" s="40">
        <v>28.5443064</v>
      </c>
      <c r="C68" s="40">
        <f t="shared" si="4"/>
        <v>172.369</v>
      </c>
      <c r="D68" s="1">
        <v>2</v>
      </c>
      <c r="E68" s="55">
        <f t="shared" si="5"/>
        <v>152.39999999999998</v>
      </c>
      <c r="F68" s="58">
        <v>381</v>
      </c>
      <c r="G68" s="58">
        <v>314.357258</v>
      </c>
      <c r="H68" s="55">
        <v>23.875999999999976</v>
      </c>
      <c r="I68" s="59">
        <v>28.637484000000001</v>
      </c>
      <c r="J68" s="101">
        <f t="shared" si="6"/>
        <v>1287.5656190649022</v>
      </c>
      <c r="K68">
        <f t="shared" si="7"/>
        <v>7.728167121724387</v>
      </c>
      <c r="L68">
        <f t="shared" si="8"/>
        <v>2.2174785566800009E-2</v>
      </c>
      <c r="M68" s="59">
        <v>52.324000000000012</v>
      </c>
      <c r="N68" s="3">
        <v>0.17018</v>
      </c>
      <c r="O68" s="131"/>
      <c r="Q68" s="68">
        <v>2.58E-2</v>
      </c>
      <c r="S68" s="72"/>
      <c r="T68" s="55"/>
    </row>
    <row r="69" spans="1:20" x14ac:dyDescent="0.3">
      <c r="A69" s="1">
        <v>68</v>
      </c>
      <c r="B69" s="40">
        <v>27.234302</v>
      </c>
      <c r="C69" s="40">
        <f t="shared" si="4"/>
        <v>172.369</v>
      </c>
      <c r="D69" s="1">
        <v>2</v>
      </c>
      <c r="E69" s="55">
        <f t="shared" si="5"/>
        <v>152.39999999999998</v>
      </c>
      <c r="F69" s="58">
        <v>381</v>
      </c>
      <c r="G69" s="58">
        <v>314.357258</v>
      </c>
      <c r="H69" s="55">
        <v>23.875999999999976</v>
      </c>
      <c r="I69" s="59">
        <v>28.637484000000001</v>
      </c>
      <c r="J69" s="101">
        <f t="shared" si="6"/>
        <v>1287.5656190649022</v>
      </c>
      <c r="K69">
        <f t="shared" si="7"/>
        <v>7.728167121724387</v>
      </c>
      <c r="L69">
        <f t="shared" si="8"/>
        <v>2.2174785566800009E-2</v>
      </c>
      <c r="M69" s="59">
        <v>52.324000000000012</v>
      </c>
      <c r="N69" s="3">
        <v>0.13639799999999999</v>
      </c>
      <c r="O69" s="131"/>
      <c r="Q69" s="68">
        <v>2.58E-2</v>
      </c>
      <c r="S69" s="72"/>
      <c r="T69" s="55"/>
    </row>
    <row r="70" spans="1:20" x14ac:dyDescent="0.3">
      <c r="A70" s="1">
        <v>69</v>
      </c>
      <c r="B70" s="40">
        <v>28.5443064</v>
      </c>
      <c r="C70" s="40">
        <f t="shared" si="4"/>
        <v>172.369</v>
      </c>
      <c r="D70" s="1">
        <v>2</v>
      </c>
      <c r="E70" s="55">
        <f t="shared" si="5"/>
        <v>152.39999999999998</v>
      </c>
      <c r="F70" s="58">
        <v>381</v>
      </c>
      <c r="G70" s="58">
        <v>314.357258</v>
      </c>
      <c r="H70" s="55">
        <v>23.875999999999976</v>
      </c>
      <c r="I70" s="59">
        <v>28.637484000000001</v>
      </c>
      <c r="J70" s="101">
        <f t="shared" si="6"/>
        <v>1287.5656190649022</v>
      </c>
      <c r="K70">
        <f t="shared" si="7"/>
        <v>7.728167121724387</v>
      </c>
      <c r="L70">
        <f t="shared" si="8"/>
        <v>2.2174785566800009E-2</v>
      </c>
      <c r="M70" s="59">
        <v>52.324000000000012</v>
      </c>
      <c r="N70" s="3">
        <v>0.14731999999999998</v>
      </c>
      <c r="O70" s="131"/>
      <c r="Q70" s="68">
        <v>2.58E-2</v>
      </c>
      <c r="S70" s="72"/>
      <c r="T70" s="55"/>
    </row>
    <row r="71" spans="1:20" x14ac:dyDescent="0.3">
      <c r="A71" s="1">
        <v>70</v>
      </c>
      <c r="B71" s="40">
        <v>24.407450399999998</v>
      </c>
      <c r="C71" s="40">
        <f t="shared" si="4"/>
        <v>172.369</v>
      </c>
      <c r="D71" s="1">
        <v>2</v>
      </c>
      <c r="E71" s="55">
        <f t="shared" si="5"/>
        <v>152.39999999999998</v>
      </c>
      <c r="F71" s="58">
        <v>381</v>
      </c>
      <c r="G71" s="58">
        <v>314.357258</v>
      </c>
      <c r="H71" s="55">
        <v>23.875999999999976</v>
      </c>
      <c r="I71" s="59">
        <v>28.637484000000001</v>
      </c>
      <c r="J71" s="101">
        <f t="shared" si="6"/>
        <v>1287.5656190649022</v>
      </c>
      <c r="K71">
        <f t="shared" si="7"/>
        <v>7.728167121724387</v>
      </c>
      <c r="L71">
        <f t="shared" si="8"/>
        <v>2.2174785566800009E-2</v>
      </c>
      <c r="M71" s="59">
        <v>52.324000000000012</v>
      </c>
      <c r="N71" s="3">
        <v>0.13411199999999998</v>
      </c>
      <c r="O71" s="131"/>
      <c r="Q71" s="68">
        <v>2.58E-2</v>
      </c>
      <c r="S71" s="72"/>
      <c r="T71" s="55"/>
    </row>
    <row r="72" spans="1:20" x14ac:dyDescent="0.3">
      <c r="A72" s="1">
        <v>71</v>
      </c>
      <c r="B72" s="41">
        <v>27.303249600000001</v>
      </c>
      <c r="C72" s="40">
        <f t="shared" si="4"/>
        <v>172.369</v>
      </c>
      <c r="D72" s="1">
        <v>1</v>
      </c>
      <c r="E72" s="55">
        <f t="shared" si="5"/>
        <v>152.39999999999998</v>
      </c>
      <c r="F72" s="58">
        <v>584.19999999999993</v>
      </c>
      <c r="G72" s="58">
        <v>513.72046099999989</v>
      </c>
      <c r="H72" s="55">
        <v>43.687999999999988</v>
      </c>
      <c r="I72" s="59">
        <v>32.247078000000002</v>
      </c>
      <c r="J72" s="101">
        <f t="shared" si="6"/>
        <v>816.30112103739611</v>
      </c>
      <c r="K72">
        <f t="shared" si="7"/>
        <v>4.6328402973089569</v>
      </c>
      <c r="L72">
        <f t="shared" si="8"/>
        <v>9.1686178851195701E-3</v>
      </c>
      <c r="M72" s="59">
        <v>54.355999999999995</v>
      </c>
      <c r="N72" s="3">
        <v>0.23367999999999997</v>
      </c>
      <c r="O72" s="131"/>
      <c r="Q72" s="68">
        <v>1.01E-2</v>
      </c>
      <c r="S72" s="72"/>
      <c r="T72" s="55"/>
    </row>
    <row r="73" spans="1:20" x14ac:dyDescent="0.3">
      <c r="A73" s="1">
        <v>72</v>
      </c>
      <c r="B73" s="41">
        <v>24.959031199999998</v>
      </c>
      <c r="C73" s="40">
        <f t="shared" si="4"/>
        <v>172.369</v>
      </c>
      <c r="D73" s="1">
        <v>1</v>
      </c>
      <c r="E73" s="55">
        <f t="shared" si="5"/>
        <v>152.39999999999998</v>
      </c>
      <c r="F73" s="58">
        <v>584.19999999999993</v>
      </c>
      <c r="G73" s="58">
        <v>513.72046099999989</v>
      </c>
      <c r="H73" s="55">
        <v>43.687999999999988</v>
      </c>
      <c r="I73" s="59">
        <v>32.247078000000002</v>
      </c>
      <c r="J73" s="101">
        <f t="shared" si="6"/>
        <v>816.30112103739611</v>
      </c>
      <c r="K73">
        <f t="shared" si="7"/>
        <v>4.6328402973089569</v>
      </c>
      <c r="L73">
        <f t="shared" si="8"/>
        <v>9.1686178851195701E-3</v>
      </c>
      <c r="M73" s="59">
        <v>54.355999999999995</v>
      </c>
      <c r="N73" s="3">
        <v>0.22504399999999999</v>
      </c>
      <c r="O73" s="131"/>
      <c r="Q73" s="68">
        <v>1.01E-2</v>
      </c>
      <c r="S73" s="72"/>
      <c r="T73" s="55"/>
    </row>
    <row r="74" spans="1:20" x14ac:dyDescent="0.3">
      <c r="A74" s="1">
        <v>73</v>
      </c>
      <c r="B74" s="41">
        <v>27.0964068</v>
      </c>
      <c r="C74" s="40">
        <f t="shared" si="4"/>
        <v>172.369</v>
      </c>
      <c r="D74" s="1">
        <v>1</v>
      </c>
      <c r="E74" s="55">
        <f t="shared" si="5"/>
        <v>152.39999999999998</v>
      </c>
      <c r="F74" s="58">
        <v>584.19999999999993</v>
      </c>
      <c r="G74" s="58">
        <v>497.72214400000001</v>
      </c>
      <c r="H74" s="55">
        <v>15.240000000000123</v>
      </c>
      <c r="I74" s="59">
        <v>35.795712000000002</v>
      </c>
      <c r="J74" s="101">
        <f t="shared" si="6"/>
        <v>1005.8464031057512</v>
      </c>
      <c r="K74">
        <f t="shared" si="7"/>
        <v>4.6525038877270601</v>
      </c>
      <c r="L74">
        <f t="shared" si="8"/>
        <v>1.1297572774956527E-2</v>
      </c>
      <c r="M74" s="59">
        <v>68.579999999999927</v>
      </c>
      <c r="N74" s="3">
        <v>0.22453600000000001</v>
      </c>
      <c r="O74" s="131"/>
      <c r="Q74" s="68">
        <v>1.2800000000000001E-2</v>
      </c>
      <c r="S74" s="72"/>
      <c r="T74" s="55"/>
    </row>
    <row r="75" spans="1:20" x14ac:dyDescent="0.3">
      <c r="A75" s="1">
        <v>74</v>
      </c>
      <c r="B75" s="41">
        <v>25.165873999999999</v>
      </c>
      <c r="C75" s="40">
        <f t="shared" si="4"/>
        <v>172.369</v>
      </c>
      <c r="D75" s="1">
        <v>2</v>
      </c>
      <c r="E75" s="55">
        <f t="shared" si="5"/>
        <v>152.39999999999998</v>
      </c>
      <c r="F75" s="58">
        <v>584.19999999999993</v>
      </c>
      <c r="G75" s="58">
        <v>517.55916300000001</v>
      </c>
      <c r="H75" s="55">
        <v>23.876000000000033</v>
      </c>
      <c r="I75" s="59">
        <v>28.633674000000006</v>
      </c>
      <c r="J75" s="101">
        <f t="shared" si="6"/>
        <v>1287.2230401790939</v>
      </c>
      <c r="K75">
        <f t="shared" si="7"/>
        <v>7.7263317696870795</v>
      </c>
      <c r="L75">
        <f t="shared" si="8"/>
        <v>1.4457968859978272E-2</v>
      </c>
      <c r="M75" s="59">
        <v>52.323999999999955</v>
      </c>
      <c r="N75" s="3">
        <v>0.17830799999999999</v>
      </c>
      <c r="O75" s="131"/>
      <c r="Q75" s="68">
        <v>1.5900000000000001E-2</v>
      </c>
      <c r="S75" s="72"/>
      <c r="T75" s="55"/>
    </row>
    <row r="76" spans="1:20" x14ac:dyDescent="0.3">
      <c r="A76" s="1">
        <v>75</v>
      </c>
      <c r="B76" s="41">
        <v>24.545345599999997</v>
      </c>
      <c r="C76" s="40">
        <f t="shared" si="4"/>
        <v>172.369</v>
      </c>
      <c r="D76" s="1">
        <v>2</v>
      </c>
      <c r="E76" s="55">
        <f t="shared" si="5"/>
        <v>152.39999999999998</v>
      </c>
      <c r="F76" s="58">
        <v>584.19999999999993</v>
      </c>
      <c r="G76" s="58">
        <v>517.55916300000001</v>
      </c>
      <c r="H76" s="55">
        <v>23.876000000000033</v>
      </c>
      <c r="I76" s="59">
        <v>28.633674000000006</v>
      </c>
      <c r="J76" s="101">
        <f t="shared" si="6"/>
        <v>1287.2230401790939</v>
      </c>
      <c r="K76">
        <f t="shared" si="7"/>
        <v>7.7263317696870795</v>
      </c>
      <c r="L76">
        <f t="shared" si="8"/>
        <v>1.4457968859978272E-2</v>
      </c>
      <c r="M76" s="59">
        <v>52.323999999999955</v>
      </c>
      <c r="N76" s="3">
        <v>0.12928599999999998</v>
      </c>
      <c r="O76" s="131"/>
      <c r="Q76" s="68">
        <v>1.5900000000000001E-2</v>
      </c>
      <c r="S76" s="72"/>
      <c r="T76" s="55"/>
    </row>
    <row r="77" spans="1:20" x14ac:dyDescent="0.3">
      <c r="A77" s="1">
        <v>76</v>
      </c>
      <c r="B77" s="41">
        <v>24.752188399999998</v>
      </c>
      <c r="C77" s="40">
        <f t="shared" si="4"/>
        <v>172.369</v>
      </c>
      <c r="D77" s="1">
        <v>2</v>
      </c>
      <c r="E77" s="55">
        <f t="shared" si="5"/>
        <v>152.39999999999998</v>
      </c>
      <c r="F77" s="58">
        <v>584.19999999999993</v>
      </c>
      <c r="G77" s="58">
        <v>510.41299999999995</v>
      </c>
      <c r="H77" s="55">
        <v>20.319999999999993</v>
      </c>
      <c r="I77" s="59">
        <v>35.814</v>
      </c>
      <c r="J77" s="101">
        <f t="shared" si="6"/>
        <v>2013.7488757200001</v>
      </c>
      <c r="K77">
        <f t="shared" si="7"/>
        <v>10.916551022375218</v>
      </c>
      <c r="L77">
        <f t="shared" si="8"/>
        <v>2.261823913043479E-2</v>
      </c>
      <c r="M77" s="59">
        <v>55.879999999999995</v>
      </c>
      <c r="N77" s="3">
        <v>0.17144999999999999</v>
      </c>
      <c r="O77" s="131"/>
      <c r="Q77" s="68">
        <v>2.5000000000000001E-2</v>
      </c>
      <c r="S77" s="72"/>
      <c r="T77" s="55"/>
    </row>
    <row r="78" spans="1:20" x14ac:dyDescent="0.3">
      <c r="A78" s="1">
        <v>77</v>
      </c>
      <c r="B78" s="41">
        <v>27.854830399999997</v>
      </c>
      <c r="C78" s="40">
        <f t="shared" si="4"/>
        <v>172.369</v>
      </c>
      <c r="D78" s="1">
        <v>2</v>
      </c>
      <c r="E78" s="55">
        <f t="shared" si="5"/>
        <v>152.39999999999998</v>
      </c>
      <c r="F78" s="58">
        <v>584.19999999999993</v>
      </c>
      <c r="G78" s="58">
        <v>510.41299999999995</v>
      </c>
      <c r="H78" s="55">
        <v>20.319999999999993</v>
      </c>
      <c r="I78" s="59">
        <v>35.814</v>
      </c>
      <c r="J78" s="101">
        <f t="shared" si="6"/>
        <v>2013.7488757200001</v>
      </c>
      <c r="K78">
        <f t="shared" si="7"/>
        <v>10.916551022375218</v>
      </c>
      <c r="L78">
        <f t="shared" si="8"/>
        <v>2.261823913043479E-2</v>
      </c>
      <c r="M78" s="59">
        <v>55.879999999999995</v>
      </c>
      <c r="N78" s="3">
        <v>0.24561799999999998</v>
      </c>
      <c r="O78" s="131"/>
      <c r="Q78" s="68">
        <v>2.5000000000000001E-2</v>
      </c>
      <c r="S78" s="72"/>
      <c r="T78" s="62"/>
    </row>
    <row r="79" spans="1:20" x14ac:dyDescent="0.3">
      <c r="A79" s="1">
        <v>78</v>
      </c>
      <c r="B79" s="42">
        <v>25.441664400000001</v>
      </c>
      <c r="C79" s="42">
        <v>206.84279999999998</v>
      </c>
      <c r="D79" s="1">
        <v>1</v>
      </c>
      <c r="E79" s="55">
        <f t="shared" si="5"/>
        <v>152.39999999999998</v>
      </c>
      <c r="F79" s="60">
        <v>381</v>
      </c>
      <c r="G79" s="60">
        <v>317.50126999999998</v>
      </c>
      <c r="H79" s="55">
        <v>50.799999999999955</v>
      </c>
      <c r="I79" s="61">
        <v>25.397459999999999</v>
      </c>
      <c r="J79" s="101">
        <f t="shared" si="6"/>
        <v>506.34931494450603</v>
      </c>
      <c r="K79">
        <f t="shared" si="7"/>
        <v>3.1896657772179435</v>
      </c>
      <c r="L79">
        <f t="shared" si="8"/>
        <v>8.7204778650000012E-3</v>
      </c>
      <c r="M79" s="61">
        <v>50.800000000000011</v>
      </c>
      <c r="N79" s="3">
        <v>0.20904199999999998</v>
      </c>
      <c r="O79" s="131"/>
      <c r="Q79" s="68">
        <v>1.01E-2</v>
      </c>
      <c r="S79" s="72"/>
      <c r="T79" s="55"/>
    </row>
    <row r="80" spans="1:20" x14ac:dyDescent="0.3">
      <c r="A80" s="1">
        <v>79</v>
      </c>
      <c r="B80" s="42">
        <v>25.855349999999998</v>
      </c>
      <c r="C80" s="42">
        <v>206.84279999999998</v>
      </c>
      <c r="D80" s="1">
        <v>1</v>
      </c>
      <c r="E80" s="55">
        <f t="shared" si="5"/>
        <v>152.39999999999998</v>
      </c>
      <c r="F80" s="60">
        <v>381</v>
      </c>
      <c r="G80" s="60">
        <v>317.50126999999998</v>
      </c>
      <c r="H80" s="55">
        <v>50.799999999999955</v>
      </c>
      <c r="I80" s="61">
        <v>25.397459999999999</v>
      </c>
      <c r="J80" s="101">
        <f t="shared" si="6"/>
        <v>506.34931494450603</v>
      </c>
      <c r="K80">
        <f t="shared" si="7"/>
        <v>3.1896657772179435</v>
      </c>
      <c r="L80">
        <f t="shared" si="8"/>
        <v>8.7204778650000012E-3</v>
      </c>
      <c r="M80" s="61">
        <v>50.800000000000011</v>
      </c>
      <c r="N80" s="3">
        <v>0.20142199999999999</v>
      </c>
      <c r="O80" s="131"/>
      <c r="Q80" s="68">
        <v>1.01E-2</v>
      </c>
      <c r="S80" s="72"/>
      <c r="T80" s="55"/>
    </row>
    <row r="81" spans="1:20" x14ac:dyDescent="0.3">
      <c r="A81" s="1">
        <v>80</v>
      </c>
      <c r="B81" s="42">
        <v>30.061153599999997</v>
      </c>
      <c r="C81" s="42">
        <v>206.84279999999998</v>
      </c>
      <c r="D81" s="1">
        <v>2</v>
      </c>
      <c r="E81" s="55">
        <f t="shared" si="5"/>
        <v>152.39999999999998</v>
      </c>
      <c r="F81" s="60">
        <v>381</v>
      </c>
      <c r="G81" s="60">
        <v>330.33842999999996</v>
      </c>
      <c r="H81" s="55">
        <v>35.051999999999964</v>
      </c>
      <c r="I81" s="61">
        <v>19.027139999999996</v>
      </c>
      <c r="J81" s="101">
        <f t="shared" si="6"/>
        <v>568.39032882997174</v>
      </c>
      <c r="K81">
        <f t="shared" si="7"/>
        <v>4.4877435012769737</v>
      </c>
      <c r="L81">
        <f t="shared" si="8"/>
        <v>9.7889641299999958E-3</v>
      </c>
      <c r="M81" s="61">
        <v>41.148000000000025</v>
      </c>
      <c r="N81" s="3">
        <v>0.22580600000000001</v>
      </c>
      <c r="O81" s="131"/>
      <c r="Q81" s="68">
        <v>1.0999999999999999E-2</v>
      </c>
      <c r="S81" s="72"/>
      <c r="T81" s="55"/>
    </row>
    <row r="82" spans="1:20" x14ac:dyDescent="0.3">
      <c r="A82" s="1">
        <v>81</v>
      </c>
      <c r="B82" s="42">
        <v>29.233782399999999</v>
      </c>
      <c r="C82" s="42">
        <v>206.84279999999998</v>
      </c>
      <c r="D82" s="1">
        <v>2</v>
      </c>
      <c r="E82" s="55">
        <f t="shared" si="5"/>
        <v>152.39999999999998</v>
      </c>
      <c r="F82" s="60">
        <v>381</v>
      </c>
      <c r="G82" s="60">
        <v>330.33842999999996</v>
      </c>
      <c r="H82" s="55">
        <v>35.051999999999964</v>
      </c>
      <c r="I82" s="61">
        <v>19.027139999999996</v>
      </c>
      <c r="J82" s="101">
        <f t="shared" si="6"/>
        <v>568.39032882997174</v>
      </c>
      <c r="K82">
        <f t="shared" si="7"/>
        <v>4.4877435012769737</v>
      </c>
      <c r="L82">
        <f t="shared" si="8"/>
        <v>9.7889641299999958E-3</v>
      </c>
      <c r="M82" s="61">
        <v>41.148000000000025</v>
      </c>
      <c r="N82" s="3">
        <v>0.13614399999999999</v>
      </c>
      <c r="O82" s="131"/>
      <c r="Q82" s="68">
        <v>1.0999999999999999E-2</v>
      </c>
      <c r="S82" s="72"/>
      <c r="T82" s="55"/>
    </row>
    <row r="83" spans="1:20" x14ac:dyDescent="0.3">
      <c r="A83" s="1">
        <v>82</v>
      </c>
      <c r="B83" s="42">
        <v>27.165354399999998</v>
      </c>
      <c r="C83" s="42">
        <v>206.84279999999998</v>
      </c>
      <c r="D83" s="1">
        <v>2</v>
      </c>
      <c r="E83" s="55">
        <f t="shared" si="5"/>
        <v>152.39999999999998</v>
      </c>
      <c r="F83" s="60">
        <v>381</v>
      </c>
      <c r="G83" s="60">
        <v>323.98614400000002</v>
      </c>
      <c r="H83" s="55">
        <v>28.701999999999998</v>
      </c>
      <c r="I83" s="61">
        <v>19.031711999999999</v>
      </c>
      <c r="J83" s="101">
        <f t="shared" si="6"/>
        <v>568.66351679198203</v>
      </c>
      <c r="K83">
        <f t="shared" si="7"/>
        <v>3.9896513352261755</v>
      </c>
      <c r="L83">
        <f t="shared" si="8"/>
        <v>9.7936690432000005E-3</v>
      </c>
      <c r="M83" s="61">
        <v>47.49799999999999</v>
      </c>
      <c r="N83" s="3">
        <v>0.160528</v>
      </c>
      <c r="O83" s="131"/>
      <c r="Q83" s="68">
        <v>1.12E-2</v>
      </c>
      <c r="S83" s="72"/>
      <c r="T83" s="55"/>
    </row>
    <row r="84" spans="1:20" x14ac:dyDescent="0.3">
      <c r="A84" s="1">
        <v>83</v>
      </c>
      <c r="B84" s="42">
        <v>26.820616399999999</v>
      </c>
      <c r="C84" s="42">
        <v>206.84279999999998</v>
      </c>
      <c r="D84" s="1">
        <v>2</v>
      </c>
      <c r="E84" s="55">
        <f t="shared" si="5"/>
        <v>152.39999999999998</v>
      </c>
      <c r="F84" s="60">
        <v>381</v>
      </c>
      <c r="G84" s="60">
        <v>346.01505599999996</v>
      </c>
      <c r="H84" s="55">
        <v>52.323999999999955</v>
      </c>
      <c r="I84" s="61">
        <v>22.217887999999999</v>
      </c>
      <c r="J84" s="101">
        <f t="shared" si="6"/>
        <v>775.00623907345403</v>
      </c>
      <c r="K84">
        <f t="shared" si="7"/>
        <v>8.8610259210185163</v>
      </c>
      <c r="L84">
        <f t="shared" si="8"/>
        <v>1.3347356367644446E-2</v>
      </c>
      <c r="M84" s="61">
        <v>23.876000000000033</v>
      </c>
      <c r="N84" s="3">
        <v>0.11760199999999998</v>
      </c>
      <c r="O84" s="131"/>
      <c r="Q84" s="68">
        <v>1.4200000000000001E-2</v>
      </c>
      <c r="S84" s="72"/>
      <c r="T84" s="55"/>
    </row>
    <row r="85" spans="1:20" x14ac:dyDescent="0.3">
      <c r="A85" s="1">
        <v>84</v>
      </c>
      <c r="B85" s="42">
        <v>22.407969999999999</v>
      </c>
      <c r="C85" s="42">
        <v>206.84279999999998</v>
      </c>
      <c r="D85" s="1">
        <v>2</v>
      </c>
      <c r="E85" s="55">
        <f t="shared" si="5"/>
        <v>152.39999999999998</v>
      </c>
      <c r="F85" s="60">
        <v>381</v>
      </c>
      <c r="G85" s="60">
        <v>320.62889899999999</v>
      </c>
      <c r="H85" s="55">
        <v>26.923999999999978</v>
      </c>
      <c r="I85" s="61">
        <v>22.190201999999999</v>
      </c>
      <c r="J85" s="101">
        <f t="shared" si="6"/>
        <v>773.07595173726236</v>
      </c>
      <c r="K85">
        <f t="shared" si="7"/>
        <v>5.1221590392215122</v>
      </c>
      <c r="L85">
        <f t="shared" si="8"/>
        <v>1.3314112463700003E-2</v>
      </c>
      <c r="M85" s="61">
        <v>49.27600000000001</v>
      </c>
      <c r="N85" s="3">
        <v>0.18668999999999999</v>
      </c>
      <c r="O85" s="131"/>
      <c r="Q85" s="68">
        <v>1.5299999999999999E-2</v>
      </c>
      <c r="S85" s="72"/>
      <c r="T85" s="55"/>
    </row>
    <row r="86" spans="1:20" x14ac:dyDescent="0.3">
      <c r="A86" s="1">
        <v>85</v>
      </c>
      <c r="B86" s="42">
        <v>29.509572800000001</v>
      </c>
      <c r="C86" s="42">
        <v>206.84279999999998</v>
      </c>
      <c r="D86" s="1">
        <v>2</v>
      </c>
      <c r="E86" s="55">
        <f t="shared" si="5"/>
        <v>152.39999999999998</v>
      </c>
      <c r="F86" s="60">
        <v>381</v>
      </c>
      <c r="G86" s="60">
        <v>320.62889899999999</v>
      </c>
      <c r="H86" s="55">
        <v>26.923999999999978</v>
      </c>
      <c r="I86" s="61">
        <v>22.190201999999999</v>
      </c>
      <c r="J86" s="101">
        <f t="shared" si="6"/>
        <v>773.07595173726236</v>
      </c>
      <c r="K86">
        <f t="shared" si="7"/>
        <v>5.1221590392215122</v>
      </c>
      <c r="L86">
        <f t="shared" si="8"/>
        <v>1.3314112463700003E-2</v>
      </c>
      <c r="M86" s="61">
        <v>49.27600000000001</v>
      </c>
      <c r="N86" s="3">
        <v>0.141732</v>
      </c>
      <c r="O86" s="131"/>
      <c r="Q86" s="68">
        <v>1.5299999999999999E-2</v>
      </c>
      <c r="S86" s="72"/>
      <c r="T86" s="55"/>
    </row>
    <row r="87" spans="1:20" x14ac:dyDescent="0.3">
      <c r="A87" s="1">
        <v>86</v>
      </c>
      <c r="B87" s="42">
        <v>29.026939599999999</v>
      </c>
      <c r="C87" s="42">
        <v>206.84279999999998</v>
      </c>
      <c r="D87" s="1">
        <v>2</v>
      </c>
      <c r="E87" s="55">
        <f t="shared" si="5"/>
        <v>152.39999999999998</v>
      </c>
      <c r="F87" s="60">
        <v>381</v>
      </c>
      <c r="G87" s="60">
        <v>320.62889899999999</v>
      </c>
      <c r="H87" s="55">
        <v>26.923999999999978</v>
      </c>
      <c r="I87" s="61">
        <v>22.190201999999999</v>
      </c>
      <c r="J87" s="101">
        <f t="shared" si="6"/>
        <v>773.07595173726236</v>
      </c>
      <c r="K87">
        <f t="shared" si="7"/>
        <v>5.1221590392215122</v>
      </c>
      <c r="L87">
        <f t="shared" si="8"/>
        <v>1.3314112463700003E-2</v>
      </c>
      <c r="M87" s="61">
        <v>49.27600000000001</v>
      </c>
      <c r="N87" s="3">
        <v>0.18313399999999999</v>
      </c>
      <c r="O87" s="131"/>
      <c r="Q87" s="68">
        <v>1.5299999999999999E-2</v>
      </c>
      <c r="S87" s="72"/>
      <c r="T87" s="55"/>
    </row>
    <row r="88" spans="1:20" x14ac:dyDescent="0.3">
      <c r="A88" s="1">
        <v>87</v>
      </c>
      <c r="B88" s="42">
        <v>27.854830399999997</v>
      </c>
      <c r="C88" s="42">
        <v>206.84279999999998</v>
      </c>
      <c r="D88" s="1">
        <v>2</v>
      </c>
      <c r="E88" s="55">
        <f t="shared" si="5"/>
        <v>152.39999999999998</v>
      </c>
      <c r="F88" s="60">
        <v>381</v>
      </c>
      <c r="G88" s="60">
        <v>320.62889899999999</v>
      </c>
      <c r="H88" s="55">
        <v>26.923999999999978</v>
      </c>
      <c r="I88" s="61">
        <v>22.190201999999999</v>
      </c>
      <c r="J88" s="101">
        <f t="shared" si="6"/>
        <v>773.07595173726236</v>
      </c>
      <c r="K88">
        <f t="shared" si="7"/>
        <v>5.1221590392215122</v>
      </c>
      <c r="L88">
        <f t="shared" si="8"/>
        <v>1.3314112463700003E-2</v>
      </c>
      <c r="M88" s="61">
        <v>49.27600000000001</v>
      </c>
      <c r="N88" s="3">
        <v>0.24942800000000001</v>
      </c>
      <c r="O88" s="131"/>
      <c r="Q88" s="68">
        <v>1.5299999999999999E-2</v>
      </c>
      <c r="S88" s="72"/>
      <c r="T88" s="55"/>
    </row>
    <row r="89" spans="1:20" x14ac:dyDescent="0.3">
      <c r="A89" s="1">
        <v>88</v>
      </c>
      <c r="B89" s="42">
        <v>24.614293199999999</v>
      </c>
      <c r="C89" s="42">
        <v>206.84279999999998</v>
      </c>
      <c r="D89" s="1">
        <v>1</v>
      </c>
      <c r="E89" s="55">
        <f t="shared" si="5"/>
        <v>152.39999999999998</v>
      </c>
      <c r="F89" s="60">
        <v>381</v>
      </c>
      <c r="G89" s="60">
        <v>310.52960499999995</v>
      </c>
      <c r="H89" s="55">
        <v>43.687999999999874</v>
      </c>
      <c r="I89" s="61">
        <v>32.228790000000004</v>
      </c>
      <c r="J89" s="101">
        <f t="shared" si="6"/>
        <v>815.3755003183187</v>
      </c>
      <c r="K89">
        <f t="shared" si="7"/>
        <v>4.6281874839402732</v>
      </c>
      <c r="L89">
        <f t="shared" si="8"/>
        <v>1.4042606146250004E-2</v>
      </c>
      <c r="M89" s="61">
        <v>54.356000000000051</v>
      </c>
      <c r="N89" s="3">
        <v>0.26593800000000001</v>
      </c>
      <c r="O89" s="131"/>
      <c r="Q89" s="68">
        <v>1.6500000000000001E-2</v>
      </c>
      <c r="S89" s="72"/>
      <c r="T89" s="55"/>
    </row>
    <row r="90" spans="1:20" x14ac:dyDescent="0.3">
      <c r="A90" s="1">
        <v>89</v>
      </c>
      <c r="B90" s="42">
        <v>28.682201599999999</v>
      </c>
      <c r="C90" s="42">
        <v>206.84279999999998</v>
      </c>
      <c r="D90" s="1">
        <v>1</v>
      </c>
      <c r="E90" s="55">
        <f t="shared" si="5"/>
        <v>152.39999999999998</v>
      </c>
      <c r="F90" s="60">
        <v>381</v>
      </c>
      <c r="G90" s="60">
        <v>310.52960499999995</v>
      </c>
      <c r="H90" s="55">
        <v>43.687999999999874</v>
      </c>
      <c r="I90" s="61">
        <v>32.228790000000004</v>
      </c>
      <c r="J90" s="101">
        <f t="shared" si="6"/>
        <v>815.3755003183187</v>
      </c>
      <c r="K90">
        <f t="shared" si="7"/>
        <v>4.6281874839402732</v>
      </c>
      <c r="L90">
        <f t="shared" si="8"/>
        <v>1.4042606146250004E-2</v>
      </c>
      <c r="M90" s="61">
        <v>54.356000000000051</v>
      </c>
      <c r="N90" s="3">
        <v>0.28701999999999994</v>
      </c>
      <c r="O90" s="131"/>
      <c r="Q90" s="68">
        <v>1.6500000000000001E-2</v>
      </c>
      <c r="S90" s="72"/>
      <c r="T90" s="55"/>
    </row>
    <row r="91" spans="1:20" x14ac:dyDescent="0.3">
      <c r="A91" s="1">
        <v>90</v>
      </c>
      <c r="B91" s="42">
        <v>26.613773599999998</v>
      </c>
      <c r="C91" s="42">
        <v>206.84279999999998</v>
      </c>
      <c r="D91" s="1">
        <v>2</v>
      </c>
      <c r="E91" s="55">
        <f t="shared" si="5"/>
        <v>152.39999999999998</v>
      </c>
      <c r="F91" s="60">
        <v>381</v>
      </c>
      <c r="G91" s="60">
        <v>317.51574799999997</v>
      </c>
      <c r="H91" s="55">
        <v>25.399999999999977</v>
      </c>
      <c r="I91" s="61">
        <v>25.368503999999998</v>
      </c>
      <c r="J91" s="101">
        <f t="shared" si="6"/>
        <v>1010.3907624608851</v>
      </c>
      <c r="K91">
        <f t="shared" si="7"/>
        <v>6.3662450489981968</v>
      </c>
      <c r="L91">
        <f t="shared" si="8"/>
        <v>1.7401209044800001E-2</v>
      </c>
      <c r="M91" s="61">
        <v>50.800000000000011</v>
      </c>
      <c r="N91" s="3">
        <v>0.315722</v>
      </c>
      <c r="O91" s="131"/>
      <c r="Q91" s="68">
        <v>2.0299999999999999E-2</v>
      </c>
      <c r="S91" s="72"/>
      <c r="T91" s="55"/>
    </row>
    <row r="92" spans="1:20" x14ac:dyDescent="0.3">
      <c r="A92" s="1">
        <v>91</v>
      </c>
      <c r="B92" s="42">
        <v>26.6827212</v>
      </c>
      <c r="C92" s="42">
        <v>206.84279999999998</v>
      </c>
      <c r="D92" s="1">
        <v>2</v>
      </c>
      <c r="E92" s="55">
        <f t="shared" si="5"/>
        <v>152.39999999999998</v>
      </c>
      <c r="F92" s="60">
        <v>381</v>
      </c>
      <c r="G92" s="60">
        <v>317.51574799999997</v>
      </c>
      <c r="H92" s="55">
        <v>25.399999999999977</v>
      </c>
      <c r="I92" s="61">
        <v>25.368503999999998</v>
      </c>
      <c r="J92" s="101">
        <f t="shared" si="6"/>
        <v>1010.3907624608851</v>
      </c>
      <c r="K92">
        <f t="shared" si="7"/>
        <v>6.3662450489981968</v>
      </c>
      <c r="L92">
        <f t="shared" si="8"/>
        <v>1.7401209044800001E-2</v>
      </c>
      <c r="M92" s="61">
        <v>50.800000000000011</v>
      </c>
      <c r="N92" s="3">
        <v>0.20929600000000001</v>
      </c>
      <c r="O92" s="131"/>
      <c r="Q92" s="68">
        <v>2.0299999999999999E-2</v>
      </c>
      <c r="S92" s="72"/>
      <c r="T92" s="55"/>
    </row>
    <row r="93" spans="1:20" x14ac:dyDescent="0.3">
      <c r="A93" s="1">
        <v>92</v>
      </c>
      <c r="B93" s="42">
        <v>28.130620799999999</v>
      </c>
      <c r="C93" s="42">
        <v>206.84279999999998</v>
      </c>
      <c r="D93" s="1">
        <v>2</v>
      </c>
      <c r="E93" s="55">
        <f t="shared" si="5"/>
        <v>152.39999999999998</v>
      </c>
      <c r="F93" s="60">
        <v>381</v>
      </c>
      <c r="G93" s="60">
        <v>330.11516399999999</v>
      </c>
      <c r="H93" s="55">
        <v>39.623999999999967</v>
      </c>
      <c r="I93" s="61">
        <v>28.617671999999995</v>
      </c>
      <c r="J93" s="101">
        <f t="shared" si="6"/>
        <v>1285.7847065983465</v>
      </c>
      <c r="K93">
        <f t="shared" si="7"/>
        <v>10.107409654210903</v>
      </c>
      <c r="L93">
        <f t="shared" si="8"/>
        <v>2.2144114235199994E-2</v>
      </c>
      <c r="M93" s="61">
        <v>36.576000000000022</v>
      </c>
      <c r="N93" s="3">
        <v>0.145288</v>
      </c>
      <c r="O93" s="131"/>
      <c r="Q93" s="68">
        <v>2.46E-2</v>
      </c>
      <c r="S93" s="72"/>
      <c r="T93" s="55"/>
    </row>
    <row r="94" spans="1:20" x14ac:dyDescent="0.3">
      <c r="A94" s="1">
        <v>93</v>
      </c>
      <c r="B94" s="42">
        <v>28.5443064</v>
      </c>
      <c r="C94" s="42">
        <v>206.84279999999998</v>
      </c>
      <c r="D94" s="1">
        <v>2</v>
      </c>
      <c r="E94" s="55">
        <f t="shared" si="5"/>
        <v>152.39999999999998</v>
      </c>
      <c r="F94" s="60">
        <v>381</v>
      </c>
      <c r="G94" s="60">
        <v>314.357258</v>
      </c>
      <c r="H94" s="55">
        <v>23.875999999999976</v>
      </c>
      <c r="I94" s="61">
        <v>28.637484000000001</v>
      </c>
      <c r="J94" s="101">
        <f t="shared" si="6"/>
        <v>1287.5656190649022</v>
      </c>
      <c r="K94">
        <f t="shared" si="7"/>
        <v>7.728167121724387</v>
      </c>
      <c r="L94">
        <f t="shared" si="8"/>
        <v>2.2174785566800009E-2</v>
      </c>
      <c r="M94" s="61">
        <v>52.324000000000012</v>
      </c>
      <c r="N94" s="3">
        <v>0.20370799999999997</v>
      </c>
      <c r="O94" s="131"/>
      <c r="Q94" s="68">
        <v>2.58E-2</v>
      </c>
      <c r="S94" s="72"/>
      <c r="T94" s="55"/>
    </row>
    <row r="95" spans="1:20" x14ac:dyDescent="0.3">
      <c r="A95" s="1">
        <v>94</v>
      </c>
      <c r="B95" s="42">
        <v>27.234302</v>
      </c>
      <c r="C95" s="42">
        <v>206.84279999999998</v>
      </c>
      <c r="D95" s="1">
        <v>2</v>
      </c>
      <c r="E95" s="55">
        <f t="shared" si="5"/>
        <v>152.39999999999998</v>
      </c>
      <c r="F95" s="60">
        <v>381</v>
      </c>
      <c r="G95" s="60">
        <v>314.357258</v>
      </c>
      <c r="H95" s="55">
        <v>23.875999999999976</v>
      </c>
      <c r="I95" s="61">
        <v>28.637484000000001</v>
      </c>
      <c r="J95" s="101">
        <f t="shared" si="6"/>
        <v>1287.5656190649022</v>
      </c>
      <c r="K95">
        <f t="shared" si="7"/>
        <v>7.728167121724387</v>
      </c>
      <c r="L95">
        <f t="shared" si="8"/>
        <v>2.2174785566800009E-2</v>
      </c>
      <c r="M95" s="61">
        <v>52.324000000000012</v>
      </c>
      <c r="N95" s="3">
        <v>0.17094199999999998</v>
      </c>
      <c r="O95" s="131"/>
      <c r="Q95" s="68">
        <v>2.58E-2</v>
      </c>
      <c r="S95" s="72"/>
      <c r="T95" s="55"/>
    </row>
    <row r="96" spans="1:20" x14ac:dyDescent="0.3">
      <c r="A96" s="1">
        <v>95</v>
      </c>
      <c r="B96" s="42">
        <v>28.5443064</v>
      </c>
      <c r="C96" s="42">
        <v>206.84279999999998</v>
      </c>
      <c r="D96" s="1">
        <v>2</v>
      </c>
      <c r="E96" s="55">
        <f t="shared" si="5"/>
        <v>152.39999999999998</v>
      </c>
      <c r="F96" s="60">
        <v>381</v>
      </c>
      <c r="G96" s="60">
        <v>314.357258</v>
      </c>
      <c r="H96" s="55">
        <v>23.875999999999976</v>
      </c>
      <c r="I96" s="61">
        <v>28.637484000000001</v>
      </c>
      <c r="J96" s="101">
        <f t="shared" si="6"/>
        <v>1287.5656190649022</v>
      </c>
      <c r="K96">
        <f t="shared" si="7"/>
        <v>7.728167121724387</v>
      </c>
      <c r="L96">
        <f t="shared" si="8"/>
        <v>2.2174785566800009E-2</v>
      </c>
      <c r="M96" s="61">
        <v>52.324000000000012</v>
      </c>
      <c r="N96" s="3">
        <v>0.160528</v>
      </c>
      <c r="O96" s="131"/>
      <c r="Q96" s="68">
        <v>2.58E-2</v>
      </c>
      <c r="S96" s="72"/>
      <c r="T96" s="55"/>
    </row>
    <row r="97" spans="1:20" x14ac:dyDescent="0.3">
      <c r="A97" s="1">
        <v>96</v>
      </c>
      <c r="B97" s="42">
        <v>24.407450399999998</v>
      </c>
      <c r="C97" s="42">
        <v>206.84279999999998</v>
      </c>
      <c r="D97" s="1">
        <v>2</v>
      </c>
      <c r="E97" s="55">
        <f t="shared" si="5"/>
        <v>152.39999999999998</v>
      </c>
      <c r="F97" s="60">
        <v>381</v>
      </c>
      <c r="G97" s="60">
        <v>314.357258</v>
      </c>
      <c r="H97" s="55">
        <v>23.875999999999976</v>
      </c>
      <c r="I97" s="61">
        <v>28.637484000000001</v>
      </c>
      <c r="J97" s="101">
        <f t="shared" si="6"/>
        <v>1287.5656190649022</v>
      </c>
      <c r="K97">
        <f t="shared" si="7"/>
        <v>7.728167121724387</v>
      </c>
      <c r="L97">
        <f t="shared" si="8"/>
        <v>2.2174785566800009E-2</v>
      </c>
      <c r="M97" s="61">
        <v>52.324000000000012</v>
      </c>
      <c r="N97" s="3">
        <v>0.16916399999999998</v>
      </c>
      <c r="O97" s="131"/>
      <c r="Q97" s="68">
        <v>2.58E-2</v>
      </c>
      <c r="S97" s="72"/>
      <c r="T97" s="55"/>
    </row>
    <row r="98" spans="1:20" x14ac:dyDescent="0.3">
      <c r="A98" s="1">
        <v>97</v>
      </c>
      <c r="B98" s="43">
        <v>27.303249600000001</v>
      </c>
      <c r="C98" s="42">
        <v>206.84279999999998</v>
      </c>
      <c r="D98" s="1">
        <v>1</v>
      </c>
      <c r="E98" s="55">
        <f t="shared" si="5"/>
        <v>152.39999999999998</v>
      </c>
      <c r="F98" s="60">
        <v>584.19999999999993</v>
      </c>
      <c r="G98" s="60">
        <v>513.72046099999989</v>
      </c>
      <c r="H98" s="55">
        <v>43.687999999999988</v>
      </c>
      <c r="I98" s="61">
        <v>32.247078000000002</v>
      </c>
      <c r="J98" s="101">
        <f t="shared" si="6"/>
        <v>816.30112103739611</v>
      </c>
      <c r="K98">
        <f t="shared" si="7"/>
        <v>4.6328402973089569</v>
      </c>
      <c r="L98">
        <f t="shared" si="8"/>
        <v>9.1686178851195701E-3</v>
      </c>
      <c r="M98" s="61">
        <v>54.355999999999995</v>
      </c>
      <c r="N98" s="3">
        <v>0.29718</v>
      </c>
      <c r="O98" s="131"/>
      <c r="Q98" s="68">
        <v>1.01E-2</v>
      </c>
      <c r="S98" s="72"/>
      <c r="T98" s="55"/>
    </row>
    <row r="99" spans="1:20" x14ac:dyDescent="0.3">
      <c r="A99" s="1">
        <v>98</v>
      </c>
      <c r="B99" s="43">
        <v>24.959031199999998</v>
      </c>
      <c r="C99" s="42">
        <v>206.84279999999998</v>
      </c>
      <c r="D99" s="1">
        <v>1</v>
      </c>
      <c r="E99" s="55">
        <f t="shared" si="5"/>
        <v>152.39999999999998</v>
      </c>
      <c r="F99" s="60">
        <v>584.19999999999993</v>
      </c>
      <c r="G99" s="60">
        <v>513.72046099999989</v>
      </c>
      <c r="H99" s="55">
        <v>43.687999999999988</v>
      </c>
      <c r="I99" s="61">
        <v>32.247078000000002</v>
      </c>
      <c r="J99" s="101">
        <f t="shared" si="6"/>
        <v>816.30112103739611</v>
      </c>
      <c r="K99">
        <f t="shared" si="7"/>
        <v>4.6328402973089569</v>
      </c>
      <c r="L99">
        <f t="shared" si="8"/>
        <v>9.1686178851195701E-3</v>
      </c>
      <c r="M99" s="61">
        <v>54.355999999999995</v>
      </c>
      <c r="N99" s="3">
        <v>0.28041599999999994</v>
      </c>
      <c r="O99" s="131"/>
      <c r="Q99" s="68">
        <v>1.01E-2</v>
      </c>
      <c r="S99" s="72"/>
      <c r="T99" s="55"/>
    </row>
    <row r="100" spans="1:20" x14ac:dyDescent="0.3">
      <c r="A100" s="1">
        <v>99</v>
      </c>
      <c r="B100" s="43">
        <v>27.0964068</v>
      </c>
      <c r="C100" s="42">
        <v>206.84279999999998</v>
      </c>
      <c r="D100" s="1">
        <v>1</v>
      </c>
      <c r="E100" s="55">
        <f t="shared" si="5"/>
        <v>152.39999999999998</v>
      </c>
      <c r="F100" s="60">
        <v>584.19999999999993</v>
      </c>
      <c r="G100" s="60">
        <v>497.72214400000001</v>
      </c>
      <c r="H100" s="55">
        <v>15.240000000000123</v>
      </c>
      <c r="I100" s="61">
        <v>35.795712000000002</v>
      </c>
      <c r="J100" s="101">
        <f t="shared" si="6"/>
        <v>1005.8464031057512</v>
      </c>
      <c r="K100">
        <f t="shared" si="7"/>
        <v>4.6525038877270601</v>
      </c>
      <c r="L100">
        <f t="shared" si="8"/>
        <v>1.1297572774956527E-2</v>
      </c>
      <c r="M100" s="61">
        <v>68.579999999999927</v>
      </c>
      <c r="N100" s="3">
        <v>0.26644599999999996</v>
      </c>
      <c r="O100" s="131"/>
      <c r="Q100" s="68">
        <v>1.2800000000000001E-2</v>
      </c>
      <c r="S100" s="72"/>
      <c r="T100" s="55"/>
    </row>
    <row r="101" spans="1:20" x14ac:dyDescent="0.3">
      <c r="A101" s="1">
        <v>100</v>
      </c>
      <c r="B101" s="43">
        <v>25.165873999999999</v>
      </c>
      <c r="C101" s="42">
        <v>206.84279999999998</v>
      </c>
      <c r="D101" s="1">
        <v>2</v>
      </c>
      <c r="E101" s="55">
        <f t="shared" si="5"/>
        <v>152.39999999999998</v>
      </c>
      <c r="F101" s="60">
        <v>584.19999999999993</v>
      </c>
      <c r="G101" s="60">
        <v>517.55916300000001</v>
      </c>
      <c r="H101" s="55">
        <v>23.876000000000033</v>
      </c>
      <c r="I101" s="61">
        <v>28.633674000000006</v>
      </c>
      <c r="J101" s="101">
        <f t="shared" si="6"/>
        <v>1287.2230401790939</v>
      </c>
      <c r="K101">
        <f t="shared" si="7"/>
        <v>7.7263317696870795</v>
      </c>
      <c r="L101">
        <f t="shared" si="8"/>
        <v>1.4457968859978272E-2</v>
      </c>
      <c r="M101" s="61">
        <v>52.323999999999955</v>
      </c>
      <c r="N101" s="3">
        <v>0.22402799999999998</v>
      </c>
      <c r="O101" s="131"/>
      <c r="Q101" s="69">
        <v>1.5900000000000001E-2</v>
      </c>
      <c r="S101" s="72"/>
      <c r="T101" s="55"/>
    </row>
    <row r="102" spans="1:20" x14ac:dyDescent="0.3">
      <c r="A102" s="1">
        <v>101</v>
      </c>
      <c r="B102" s="43">
        <v>24.545345599999997</v>
      </c>
      <c r="C102" s="42">
        <v>206.84279999999998</v>
      </c>
      <c r="D102" s="1">
        <v>2</v>
      </c>
      <c r="E102" s="55">
        <f t="shared" si="5"/>
        <v>152.39999999999998</v>
      </c>
      <c r="F102" s="63">
        <v>584.19999999999993</v>
      </c>
      <c r="G102" s="63">
        <v>517.55916300000001</v>
      </c>
      <c r="H102" s="55">
        <v>23.876000000000033</v>
      </c>
      <c r="I102" s="61">
        <v>28.633674000000006</v>
      </c>
      <c r="J102" s="101">
        <f t="shared" si="6"/>
        <v>1287.2230401790939</v>
      </c>
      <c r="K102">
        <f t="shared" si="7"/>
        <v>7.7263317696870795</v>
      </c>
      <c r="L102">
        <f t="shared" si="8"/>
        <v>1.4457968859978272E-2</v>
      </c>
      <c r="M102" s="61">
        <v>52.323999999999955</v>
      </c>
      <c r="N102" s="3">
        <v>0.15900399999999998</v>
      </c>
      <c r="O102" s="131"/>
      <c r="Q102" s="68">
        <v>1.5900000000000001E-2</v>
      </c>
      <c r="S102" s="72"/>
      <c r="T102" s="55"/>
    </row>
    <row r="103" spans="1:20" x14ac:dyDescent="0.3">
      <c r="A103" s="1">
        <v>102</v>
      </c>
      <c r="B103" s="43">
        <v>24.752188399999998</v>
      </c>
      <c r="C103" s="42">
        <v>206.84279999999998</v>
      </c>
      <c r="D103" s="1">
        <v>2</v>
      </c>
      <c r="E103" s="55">
        <f t="shared" si="5"/>
        <v>152.39999999999998</v>
      </c>
      <c r="F103" s="60">
        <v>584.19999999999993</v>
      </c>
      <c r="G103" s="60">
        <v>510.41299999999995</v>
      </c>
      <c r="H103" s="55">
        <v>20.319999999999993</v>
      </c>
      <c r="I103" s="61">
        <v>35.814</v>
      </c>
      <c r="J103" s="101">
        <f t="shared" si="6"/>
        <v>2013.7488757200001</v>
      </c>
      <c r="K103">
        <f t="shared" si="7"/>
        <v>10.916551022375218</v>
      </c>
      <c r="L103">
        <f t="shared" si="8"/>
        <v>2.261823913043479E-2</v>
      </c>
      <c r="M103" s="61">
        <v>55.879999999999995</v>
      </c>
      <c r="N103" s="3">
        <v>0.223774</v>
      </c>
      <c r="O103" s="131"/>
      <c r="Q103" s="70">
        <v>2.5000000000000001E-2</v>
      </c>
      <c r="S103" s="72"/>
      <c r="T103" s="62"/>
    </row>
    <row r="104" spans="1:20" x14ac:dyDescent="0.3">
      <c r="A104" s="1">
        <v>103</v>
      </c>
      <c r="B104" s="44">
        <v>25.441664400000001</v>
      </c>
      <c r="C104" s="52">
        <v>241.31659999999999</v>
      </c>
      <c r="D104" s="1">
        <v>1</v>
      </c>
      <c r="E104" s="55">
        <f t="shared" si="5"/>
        <v>152.39999999999998</v>
      </c>
      <c r="F104" s="64">
        <v>381</v>
      </c>
      <c r="G104" s="64">
        <v>317.50126999999998</v>
      </c>
      <c r="H104" s="55">
        <v>50.799999999999955</v>
      </c>
      <c r="I104" s="52">
        <v>25.397459999999999</v>
      </c>
      <c r="J104" s="101">
        <f t="shared" si="6"/>
        <v>506.34931494450603</v>
      </c>
      <c r="K104">
        <f t="shared" si="7"/>
        <v>3.1896657772179435</v>
      </c>
      <c r="L104">
        <f t="shared" si="8"/>
        <v>8.7204778650000012E-3</v>
      </c>
      <c r="M104" s="52">
        <v>50.800000000000011</v>
      </c>
      <c r="N104" s="3">
        <v>0.24053799999999997</v>
      </c>
      <c r="O104" s="131"/>
      <c r="Q104" s="68">
        <v>1.01E-2</v>
      </c>
      <c r="S104" s="72"/>
      <c r="T104" s="55"/>
    </row>
    <row r="105" spans="1:20" x14ac:dyDescent="0.3">
      <c r="A105" s="1">
        <v>104</v>
      </c>
      <c r="B105" s="44">
        <v>25.855349999999998</v>
      </c>
      <c r="C105" s="52">
        <v>241.31659999999999</v>
      </c>
      <c r="D105" s="1">
        <v>1</v>
      </c>
      <c r="E105" s="55">
        <f t="shared" si="5"/>
        <v>152.39999999999998</v>
      </c>
      <c r="F105" s="65">
        <v>381</v>
      </c>
      <c r="G105" s="65">
        <v>317.50126999999998</v>
      </c>
      <c r="H105" s="55">
        <v>50.799999999999955</v>
      </c>
      <c r="I105" s="52">
        <v>25.397459999999999</v>
      </c>
      <c r="J105" s="101">
        <f t="shared" si="6"/>
        <v>506.34931494450603</v>
      </c>
      <c r="K105">
        <f t="shared" si="7"/>
        <v>3.1896657772179435</v>
      </c>
      <c r="L105">
        <f t="shared" si="8"/>
        <v>8.7204778650000012E-3</v>
      </c>
      <c r="M105" s="52">
        <v>50.800000000000011</v>
      </c>
      <c r="N105" s="3">
        <v>0.24891999999999997</v>
      </c>
      <c r="O105" s="131"/>
      <c r="Q105" s="68">
        <v>1.01E-2</v>
      </c>
      <c r="S105" s="72"/>
      <c r="T105" s="55"/>
    </row>
    <row r="106" spans="1:20" x14ac:dyDescent="0.3">
      <c r="A106" s="1">
        <v>105</v>
      </c>
      <c r="B106" s="44">
        <v>30.061153599999997</v>
      </c>
      <c r="C106" s="52">
        <v>241.31659999999999</v>
      </c>
      <c r="D106" s="1">
        <v>2</v>
      </c>
      <c r="E106" s="55">
        <f t="shared" si="5"/>
        <v>152.39999999999998</v>
      </c>
      <c r="F106" s="65">
        <v>381</v>
      </c>
      <c r="G106" s="65">
        <v>330.33842999999996</v>
      </c>
      <c r="H106" s="55">
        <v>35.051999999999964</v>
      </c>
      <c r="I106" s="52">
        <v>19.027139999999996</v>
      </c>
      <c r="J106" s="101">
        <f t="shared" si="6"/>
        <v>568.39032882997174</v>
      </c>
      <c r="K106">
        <f t="shared" si="7"/>
        <v>4.4877435012769737</v>
      </c>
      <c r="L106">
        <f t="shared" si="8"/>
        <v>9.7889641299999958E-3</v>
      </c>
      <c r="M106" s="52">
        <v>41.148000000000025</v>
      </c>
      <c r="N106" s="3">
        <v>0.27304999999999996</v>
      </c>
      <c r="O106" s="131"/>
      <c r="Q106" s="68">
        <v>1.0999999999999999E-2</v>
      </c>
      <c r="S106" s="72"/>
      <c r="T106" s="55"/>
    </row>
    <row r="107" spans="1:20" x14ac:dyDescent="0.3">
      <c r="A107" s="1">
        <v>106</v>
      </c>
      <c r="B107" s="44">
        <v>29.233782399999999</v>
      </c>
      <c r="C107" s="52">
        <v>241.31659999999999</v>
      </c>
      <c r="D107" s="1">
        <v>2</v>
      </c>
      <c r="E107" s="55">
        <f t="shared" si="5"/>
        <v>152.39999999999998</v>
      </c>
      <c r="F107" s="65">
        <v>381</v>
      </c>
      <c r="G107" s="65">
        <v>330.33842999999996</v>
      </c>
      <c r="H107" s="55">
        <v>35.051999999999964</v>
      </c>
      <c r="I107" s="52">
        <v>19.027139999999996</v>
      </c>
      <c r="J107" s="101">
        <f t="shared" si="6"/>
        <v>568.39032882997174</v>
      </c>
      <c r="K107">
        <f t="shared" si="7"/>
        <v>4.4877435012769737</v>
      </c>
      <c r="L107">
        <f t="shared" si="8"/>
        <v>9.7889641299999958E-3</v>
      </c>
      <c r="M107" s="52">
        <v>41.148000000000025</v>
      </c>
      <c r="N107" s="3">
        <v>0.16484599999999999</v>
      </c>
      <c r="O107" s="131"/>
      <c r="Q107" s="68">
        <v>1.0999999999999999E-2</v>
      </c>
      <c r="S107" s="72"/>
      <c r="T107" s="55"/>
    </row>
    <row r="108" spans="1:20" x14ac:dyDescent="0.3">
      <c r="A108" s="1">
        <v>107</v>
      </c>
      <c r="B108" s="44">
        <v>27.165354399999998</v>
      </c>
      <c r="C108" s="52">
        <v>241.31659999999999</v>
      </c>
      <c r="D108" s="1">
        <v>2</v>
      </c>
      <c r="E108" s="55">
        <f t="shared" si="5"/>
        <v>152.39999999999998</v>
      </c>
      <c r="F108" s="65">
        <v>381</v>
      </c>
      <c r="G108" s="65">
        <v>323.98614400000002</v>
      </c>
      <c r="H108" s="55">
        <v>28.701999999999998</v>
      </c>
      <c r="I108" s="52">
        <v>19.031711999999999</v>
      </c>
      <c r="J108" s="101">
        <f t="shared" si="6"/>
        <v>568.66351679198203</v>
      </c>
      <c r="K108">
        <f t="shared" si="7"/>
        <v>3.9896513352261755</v>
      </c>
      <c r="L108">
        <f t="shared" si="8"/>
        <v>9.7936690432000005E-3</v>
      </c>
      <c r="M108" s="52">
        <v>47.49799999999999</v>
      </c>
      <c r="N108" s="3">
        <v>0.20294600000000002</v>
      </c>
      <c r="O108" s="131"/>
      <c r="Q108" s="68">
        <v>1.12E-2</v>
      </c>
      <c r="S108" s="72"/>
      <c r="T108" s="55"/>
    </row>
    <row r="109" spans="1:20" x14ac:dyDescent="0.3">
      <c r="A109" s="1">
        <v>108</v>
      </c>
      <c r="B109" s="44">
        <v>26.820616399999999</v>
      </c>
      <c r="C109" s="52">
        <v>241.31659999999999</v>
      </c>
      <c r="D109" s="1">
        <v>2</v>
      </c>
      <c r="E109" s="55">
        <f t="shared" si="5"/>
        <v>152.39999999999998</v>
      </c>
      <c r="F109" s="65">
        <v>381</v>
      </c>
      <c r="G109" s="65">
        <v>346.01505599999996</v>
      </c>
      <c r="H109" s="55">
        <v>52.323999999999955</v>
      </c>
      <c r="I109" s="52">
        <v>22.217887999999999</v>
      </c>
      <c r="J109" s="101">
        <f t="shared" si="6"/>
        <v>775.00623907345403</v>
      </c>
      <c r="K109">
        <f t="shared" si="7"/>
        <v>8.8610259210185163</v>
      </c>
      <c r="L109">
        <f t="shared" si="8"/>
        <v>1.3347356367644446E-2</v>
      </c>
      <c r="M109" s="52">
        <v>23.876000000000033</v>
      </c>
      <c r="N109" s="3">
        <v>0.14147799999999999</v>
      </c>
      <c r="O109" s="131"/>
      <c r="Q109" s="68">
        <v>1.4200000000000001E-2</v>
      </c>
      <c r="S109" s="72"/>
      <c r="T109" s="55"/>
    </row>
    <row r="110" spans="1:20" x14ac:dyDescent="0.3">
      <c r="A110" s="1">
        <v>109</v>
      </c>
      <c r="B110" s="44">
        <v>22.407969999999999</v>
      </c>
      <c r="C110" s="52">
        <v>241.31659999999999</v>
      </c>
      <c r="D110" s="1">
        <v>2</v>
      </c>
      <c r="E110" s="55">
        <f t="shared" si="5"/>
        <v>152.39999999999998</v>
      </c>
      <c r="F110" s="65">
        <v>381</v>
      </c>
      <c r="G110" s="65">
        <v>320.62889899999999</v>
      </c>
      <c r="H110" s="55">
        <v>26.923999999999978</v>
      </c>
      <c r="I110" s="52">
        <v>22.190201999999999</v>
      </c>
      <c r="J110" s="101">
        <f t="shared" si="6"/>
        <v>773.07595173726236</v>
      </c>
      <c r="K110">
        <f t="shared" si="7"/>
        <v>5.1221590392215122</v>
      </c>
      <c r="L110">
        <f t="shared" si="8"/>
        <v>1.3314112463700003E-2</v>
      </c>
      <c r="M110" s="52">
        <v>49.27600000000001</v>
      </c>
      <c r="N110" s="3">
        <v>0.22428199999999998</v>
      </c>
      <c r="O110" s="131"/>
      <c r="Q110" s="68">
        <v>1.5299999999999999E-2</v>
      </c>
      <c r="S110" s="72"/>
      <c r="T110" s="55"/>
    </row>
    <row r="111" spans="1:20" x14ac:dyDescent="0.3">
      <c r="A111" s="1">
        <v>110</v>
      </c>
      <c r="B111" s="44">
        <v>29.509572800000001</v>
      </c>
      <c r="C111" s="52">
        <v>241.31659999999999</v>
      </c>
      <c r="D111" s="1">
        <v>2</v>
      </c>
      <c r="E111" s="55">
        <f t="shared" si="5"/>
        <v>152.39999999999998</v>
      </c>
      <c r="F111" s="65">
        <v>381</v>
      </c>
      <c r="G111" s="65">
        <v>320.62889899999999</v>
      </c>
      <c r="H111" s="55">
        <v>26.923999999999978</v>
      </c>
      <c r="I111" s="52">
        <v>22.190201999999999</v>
      </c>
      <c r="J111" s="101">
        <f t="shared" si="6"/>
        <v>773.07595173726236</v>
      </c>
      <c r="K111">
        <f t="shared" si="7"/>
        <v>5.1221590392215122</v>
      </c>
      <c r="L111">
        <f t="shared" si="8"/>
        <v>1.3314112463700003E-2</v>
      </c>
      <c r="M111" s="52">
        <v>49.27600000000001</v>
      </c>
      <c r="N111" s="3">
        <v>0.16916399999999998</v>
      </c>
      <c r="O111" s="131"/>
      <c r="Q111" s="68">
        <v>1.5299999999999999E-2</v>
      </c>
      <c r="S111" s="72"/>
      <c r="T111" s="55"/>
    </row>
    <row r="112" spans="1:20" x14ac:dyDescent="0.3">
      <c r="A112" s="1">
        <v>111</v>
      </c>
      <c r="B112" s="44">
        <v>29.026939599999999</v>
      </c>
      <c r="C112" s="52">
        <v>241.31659999999999</v>
      </c>
      <c r="D112" s="1">
        <v>2</v>
      </c>
      <c r="E112" s="55">
        <f t="shared" si="5"/>
        <v>152.39999999999998</v>
      </c>
      <c r="F112" s="65">
        <v>381</v>
      </c>
      <c r="G112" s="65">
        <v>320.62889899999999</v>
      </c>
      <c r="H112" s="55">
        <v>26.923999999999978</v>
      </c>
      <c r="I112" s="52">
        <v>22.190201999999999</v>
      </c>
      <c r="J112" s="101">
        <f t="shared" si="6"/>
        <v>773.07595173726236</v>
      </c>
      <c r="K112">
        <f t="shared" si="7"/>
        <v>5.1221590392215122</v>
      </c>
      <c r="L112">
        <f t="shared" si="8"/>
        <v>1.3314112463700003E-2</v>
      </c>
      <c r="M112" s="52">
        <v>49.27600000000001</v>
      </c>
      <c r="N112" s="3">
        <v>0.21818599999999999</v>
      </c>
      <c r="O112" s="131"/>
      <c r="Q112" s="68">
        <v>1.5299999999999999E-2</v>
      </c>
      <c r="S112" s="72"/>
      <c r="T112" s="55"/>
    </row>
    <row r="113" spans="1:20" x14ac:dyDescent="0.3">
      <c r="A113" s="1">
        <v>112</v>
      </c>
      <c r="B113" s="44">
        <v>27.854830399999997</v>
      </c>
      <c r="C113" s="52">
        <v>241.31659999999999</v>
      </c>
      <c r="D113" s="1">
        <v>2</v>
      </c>
      <c r="E113" s="55">
        <f t="shared" si="5"/>
        <v>152.39999999999998</v>
      </c>
      <c r="F113" s="65">
        <v>381</v>
      </c>
      <c r="G113" s="65">
        <v>320.62889899999999</v>
      </c>
      <c r="H113" s="55">
        <v>26.923999999999978</v>
      </c>
      <c r="I113" s="52">
        <v>22.190201999999999</v>
      </c>
      <c r="J113" s="101">
        <f t="shared" si="6"/>
        <v>773.07595173726236</v>
      </c>
      <c r="K113">
        <f t="shared" si="7"/>
        <v>5.1221590392215122</v>
      </c>
      <c r="L113">
        <f t="shared" si="8"/>
        <v>1.3314112463700003E-2</v>
      </c>
      <c r="M113" s="52">
        <v>49.27600000000001</v>
      </c>
      <c r="N113" s="3">
        <v>0.29718</v>
      </c>
      <c r="O113" s="131"/>
      <c r="Q113" s="68">
        <v>1.5299999999999999E-2</v>
      </c>
      <c r="S113" s="72"/>
      <c r="T113" s="55"/>
    </row>
    <row r="114" spans="1:20" x14ac:dyDescent="0.3">
      <c r="A114" s="1">
        <v>113</v>
      </c>
      <c r="B114" s="44">
        <v>24.614293199999999</v>
      </c>
      <c r="C114" s="52">
        <v>241.31659999999999</v>
      </c>
      <c r="D114" s="1">
        <v>1</v>
      </c>
      <c r="E114" s="55">
        <f t="shared" si="5"/>
        <v>152.39999999999998</v>
      </c>
      <c r="F114" s="65">
        <v>381</v>
      </c>
      <c r="G114" s="65">
        <v>310.52960499999995</v>
      </c>
      <c r="H114" s="55">
        <v>43.687999999999874</v>
      </c>
      <c r="I114" s="52">
        <v>32.228790000000004</v>
      </c>
      <c r="J114" s="101">
        <f t="shared" si="6"/>
        <v>815.3755003183187</v>
      </c>
      <c r="K114">
        <f t="shared" si="7"/>
        <v>4.6281874839402732</v>
      </c>
      <c r="L114">
        <f t="shared" si="8"/>
        <v>1.4042606146250004E-2</v>
      </c>
      <c r="M114" s="52">
        <v>54.356000000000051</v>
      </c>
      <c r="N114" s="3">
        <v>0.31013399999999997</v>
      </c>
      <c r="O114" s="131"/>
      <c r="Q114" s="68">
        <v>1.6500000000000001E-2</v>
      </c>
      <c r="S114" s="72"/>
      <c r="T114" s="55"/>
    </row>
    <row r="115" spans="1:20" x14ac:dyDescent="0.3">
      <c r="A115" s="1">
        <v>114</v>
      </c>
      <c r="B115" s="44">
        <v>28.682201599999999</v>
      </c>
      <c r="C115" s="52">
        <v>241.31659999999999</v>
      </c>
      <c r="D115" s="1">
        <v>1</v>
      </c>
      <c r="E115" s="55">
        <f t="shared" si="5"/>
        <v>152.39999999999998</v>
      </c>
      <c r="F115" s="65">
        <v>381</v>
      </c>
      <c r="G115" s="65">
        <v>310.52960499999995</v>
      </c>
      <c r="H115" s="55">
        <v>43.687999999999874</v>
      </c>
      <c r="I115" s="52">
        <v>32.228790000000004</v>
      </c>
      <c r="J115" s="101">
        <f t="shared" si="6"/>
        <v>815.3755003183187</v>
      </c>
      <c r="K115">
        <f t="shared" si="7"/>
        <v>4.6281874839402732</v>
      </c>
      <c r="L115">
        <f t="shared" si="8"/>
        <v>1.4042606146250004E-2</v>
      </c>
      <c r="M115" s="52">
        <v>54.356000000000051</v>
      </c>
      <c r="N115" s="3">
        <v>0.355346</v>
      </c>
      <c r="O115" s="131"/>
      <c r="Q115" s="68">
        <v>1.6500000000000001E-2</v>
      </c>
      <c r="S115" s="72"/>
      <c r="T115" s="55"/>
    </row>
    <row r="116" spans="1:20" x14ac:dyDescent="0.3">
      <c r="A116" s="1">
        <v>115</v>
      </c>
      <c r="B116" s="44">
        <v>26.613773599999998</v>
      </c>
      <c r="C116" s="52">
        <v>241.31659999999999</v>
      </c>
      <c r="D116" s="1">
        <v>2</v>
      </c>
      <c r="E116" s="55">
        <f t="shared" si="5"/>
        <v>152.39999999999998</v>
      </c>
      <c r="F116" s="65">
        <v>381</v>
      </c>
      <c r="G116" s="65">
        <v>317.51574799999997</v>
      </c>
      <c r="H116" s="55">
        <v>25.399999999999977</v>
      </c>
      <c r="I116" s="52">
        <v>25.368503999999998</v>
      </c>
      <c r="J116" s="101">
        <f t="shared" si="6"/>
        <v>1010.3907624608851</v>
      </c>
      <c r="K116">
        <f t="shared" si="7"/>
        <v>6.3662450489981968</v>
      </c>
      <c r="L116">
        <f t="shared" si="8"/>
        <v>1.7401209044800001E-2</v>
      </c>
      <c r="M116" s="52">
        <v>50.800000000000011</v>
      </c>
      <c r="N116" s="3">
        <v>0.36245799999999995</v>
      </c>
      <c r="O116" s="131"/>
      <c r="Q116" s="68">
        <v>2.0299999999999999E-2</v>
      </c>
      <c r="S116" s="72"/>
      <c r="T116" s="55"/>
    </row>
    <row r="117" spans="1:20" x14ac:dyDescent="0.3">
      <c r="A117" s="1">
        <v>116</v>
      </c>
      <c r="B117" s="44">
        <v>26.6827212</v>
      </c>
      <c r="C117" s="52">
        <v>241.31659999999999</v>
      </c>
      <c r="D117" s="1">
        <v>2</v>
      </c>
      <c r="E117" s="55">
        <f t="shared" si="5"/>
        <v>152.39999999999998</v>
      </c>
      <c r="F117" s="65">
        <v>381</v>
      </c>
      <c r="G117" s="65">
        <v>317.51574799999997</v>
      </c>
      <c r="H117" s="55">
        <v>25.399999999999977</v>
      </c>
      <c r="I117" s="52">
        <v>25.368503999999998</v>
      </c>
      <c r="J117" s="101">
        <f t="shared" si="6"/>
        <v>1010.3907624608851</v>
      </c>
      <c r="K117">
        <f t="shared" si="7"/>
        <v>6.3662450489981968</v>
      </c>
      <c r="L117">
        <f t="shared" si="8"/>
        <v>1.7401209044800001E-2</v>
      </c>
      <c r="M117" s="52">
        <v>50.800000000000011</v>
      </c>
      <c r="N117" s="3">
        <v>0.24333199999999999</v>
      </c>
      <c r="O117" s="131"/>
      <c r="Q117" s="68">
        <v>2.0299999999999999E-2</v>
      </c>
      <c r="S117" s="72"/>
      <c r="T117" s="55"/>
    </row>
    <row r="118" spans="1:20" x14ac:dyDescent="0.3">
      <c r="A118" s="1">
        <v>117</v>
      </c>
      <c r="B118" s="44">
        <v>28.130620799999999</v>
      </c>
      <c r="C118" s="52">
        <v>241.31659999999999</v>
      </c>
      <c r="D118" s="1">
        <v>2</v>
      </c>
      <c r="E118" s="55">
        <f t="shared" si="5"/>
        <v>152.39999999999998</v>
      </c>
      <c r="F118" s="65">
        <v>381</v>
      </c>
      <c r="G118" s="65">
        <v>330.11516399999999</v>
      </c>
      <c r="H118" s="55">
        <v>39.623999999999967</v>
      </c>
      <c r="I118" s="52">
        <v>28.617671999999995</v>
      </c>
      <c r="J118" s="101">
        <f t="shared" si="6"/>
        <v>1285.7847065983465</v>
      </c>
      <c r="K118">
        <f t="shared" si="7"/>
        <v>10.107409654210903</v>
      </c>
      <c r="L118">
        <f t="shared" si="8"/>
        <v>2.2144114235199994E-2</v>
      </c>
      <c r="M118" s="52">
        <v>36.576000000000022</v>
      </c>
      <c r="N118" s="3">
        <v>0.17094199999999998</v>
      </c>
      <c r="O118" s="131"/>
      <c r="Q118" s="68">
        <v>2.46E-2</v>
      </c>
      <c r="S118" s="72"/>
      <c r="T118" s="55"/>
    </row>
    <row r="119" spans="1:20" x14ac:dyDescent="0.3">
      <c r="A119" s="1">
        <v>118</v>
      </c>
      <c r="B119" s="44">
        <v>28.5443064</v>
      </c>
      <c r="C119" s="52">
        <v>241.31659999999999</v>
      </c>
      <c r="D119" s="1">
        <v>2</v>
      </c>
      <c r="E119" s="55">
        <f t="shared" si="5"/>
        <v>152.39999999999998</v>
      </c>
      <c r="F119" s="65">
        <v>381</v>
      </c>
      <c r="G119" s="65">
        <v>314.357258</v>
      </c>
      <c r="H119" s="55">
        <v>23.875999999999976</v>
      </c>
      <c r="I119" s="52">
        <v>28.637484000000001</v>
      </c>
      <c r="J119" s="101">
        <f t="shared" si="6"/>
        <v>1287.5656190649022</v>
      </c>
      <c r="K119">
        <f t="shared" si="7"/>
        <v>7.728167121724387</v>
      </c>
      <c r="L119">
        <f t="shared" si="8"/>
        <v>2.2174785566800009E-2</v>
      </c>
      <c r="M119" s="52">
        <v>52.324000000000012</v>
      </c>
      <c r="N119" s="3">
        <v>0.24510999999999999</v>
      </c>
      <c r="O119" s="131"/>
      <c r="Q119" s="68">
        <v>2.58E-2</v>
      </c>
      <c r="S119" s="72"/>
      <c r="T119" s="55"/>
    </row>
    <row r="120" spans="1:20" x14ac:dyDescent="0.3">
      <c r="A120" s="1">
        <v>119</v>
      </c>
      <c r="B120" s="44">
        <v>28.5443064</v>
      </c>
      <c r="C120" s="52">
        <v>241.31659999999999</v>
      </c>
      <c r="D120" s="1">
        <v>2</v>
      </c>
      <c r="E120" s="55">
        <f t="shared" si="5"/>
        <v>152.39999999999998</v>
      </c>
      <c r="F120" s="65">
        <v>381</v>
      </c>
      <c r="G120" s="65">
        <v>314.357258</v>
      </c>
      <c r="H120" s="55">
        <v>23.875999999999976</v>
      </c>
      <c r="I120" s="52">
        <v>28.637484000000001</v>
      </c>
      <c r="J120" s="101">
        <f t="shared" si="6"/>
        <v>1287.5656190649022</v>
      </c>
      <c r="K120">
        <f t="shared" si="7"/>
        <v>7.728167121724387</v>
      </c>
      <c r="L120">
        <f t="shared" si="8"/>
        <v>2.2174785566800009E-2</v>
      </c>
      <c r="M120" s="52">
        <v>52.324000000000012</v>
      </c>
      <c r="N120" s="3">
        <v>0.22453600000000001</v>
      </c>
      <c r="O120" s="131"/>
      <c r="Q120" s="68">
        <v>2.58E-2</v>
      </c>
      <c r="S120" s="72"/>
      <c r="T120" s="55"/>
    </row>
    <row r="121" spans="1:20" x14ac:dyDescent="0.3">
      <c r="A121" s="1">
        <v>120</v>
      </c>
      <c r="B121" s="44">
        <v>24.407450399999998</v>
      </c>
      <c r="C121" s="52">
        <v>241.31659999999999</v>
      </c>
      <c r="D121" s="1">
        <v>2</v>
      </c>
      <c r="E121" s="55">
        <f t="shared" si="5"/>
        <v>152.39999999999998</v>
      </c>
      <c r="F121" s="65">
        <v>381</v>
      </c>
      <c r="G121" s="65">
        <v>314.357258</v>
      </c>
      <c r="H121" s="55">
        <v>23.875999999999976</v>
      </c>
      <c r="I121" s="52">
        <v>28.637484000000001</v>
      </c>
      <c r="J121" s="101">
        <f t="shared" si="6"/>
        <v>1287.5656190649022</v>
      </c>
      <c r="K121">
        <f t="shared" si="7"/>
        <v>7.728167121724387</v>
      </c>
      <c r="L121">
        <f t="shared" si="8"/>
        <v>2.2174785566800009E-2</v>
      </c>
      <c r="M121" s="52">
        <v>52.324000000000012</v>
      </c>
      <c r="N121" s="3">
        <v>0.20446999999999999</v>
      </c>
      <c r="O121" s="131"/>
      <c r="Q121" s="68">
        <v>2.58E-2</v>
      </c>
      <c r="S121" s="72"/>
      <c r="T121" s="55"/>
    </row>
    <row r="122" spans="1:20" x14ac:dyDescent="0.3">
      <c r="A122" s="1">
        <v>121</v>
      </c>
      <c r="B122" s="45">
        <v>27.303249600000001</v>
      </c>
      <c r="C122" s="52">
        <v>241.31659999999999</v>
      </c>
      <c r="D122" s="1">
        <v>1</v>
      </c>
      <c r="E122" s="55">
        <f t="shared" si="5"/>
        <v>152.39999999999998</v>
      </c>
      <c r="F122" s="65">
        <v>584.19999999999993</v>
      </c>
      <c r="G122" s="65">
        <v>513.72046099999989</v>
      </c>
      <c r="H122" s="55">
        <v>43.687999999999988</v>
      </c>
      <c r="I122" s="52">
        <v>32.247078000000002</v>
      </c>
      <c r="J122" s="101">
        <f t="shared" si="6"/>
        <v>816.30112103739611</v>
      </c>
      <c r="K122">
        <f t="shared" si="7"/>
        <v>4.6328402973089569</v>
      </c>
      <c r="L122">
        <f t="shared" si="8"/>
        <v>9.1686178851195701E-3</v>
      </c>
      <c r="M122" s="52">
        <v>54.355999999999995</v>
      </c>
      <c r="N122" s="3">
        <v>0.36474399999999996</v>
      </c>
      <c r="O122" s="131"/>
      <c r="Q122" s="68">
        <v>1.01E-2</v>
      </c>
      <c r="S122" s="72"/>
      <c r="T122" s="55"/>
    </row>
    <row r="123" spans="1:20" x14ac:dyDescent="0.3">
      <c r="A123" s="1">
        <v>122</v>
      </c>
      <c r="B123" s="45">
        <v>24.959031199999998</v>
      </c>
      <c r="C123" s="52">
        <v>241.31659999999999</v>
      </c>
      <c r="D123" s="1">
        <v>1</v>
      </c>
      <c r="E123" s="55">
        <f t="shared" si="5"/>
        <v>152.39999999999998</v>
      </c>
      <c r="F123" s="65">
        <v>584.19999999999993</v>
      </c>
      <c r="G123" s="65">
        <v>513.72046099999989</v>
      </c>
      <c r="H123" s="55">
        <v>43.687999999999988</v>
      </c>
      <c r="I123" s="52">
        <v>32.247078000000002</v>
      </c>
      <c r="J123" s="101">
        <f t="shared" si="6"/>
        <v>816.30112103739611</v>
      </c>
      <c r="K123">
        <f t="shared" si="7"/>
        <v>4.6328402973089569</v>
      </c>
      <c r="L123">
        <f t="shared" si="8"/>
        <v>9.1686178851195701E-3</v>
      </c>
      <c r="M123" s="52">
        <v>54.355999999999995</v>
      </c>
      <c r="N123" s="3">
        <v>0.32740599999999997</v>
      </c>
      <c r="O123" s="131"/>
      <c r="Q123" s="68">
        <v>1.01E-2</v>
      </c>
      <c r="S123" s="72"/>
      <c r="T123" s="55"/>
    </row>
    <row r="124" spans="1:20" x14ac:dyDescent="0.3">
      <c r="A124" s="1">
        <v>123</v>
      </c>
      <c r="B124" s="45">
        <v>27.0964068</v>
      </c>
      <c r="C124" s="52">
        <v>241.31659999999999</v>
      </c>
      <c r="D124" s="1">
        <v>1</v>
      </c>
      <c r="E124" s="55">
        <f t="shared" si="5"/>
        <v>152.39999999999998</v>
      </c>
      <c r="F124" s="65">
        <v>584.19999999999993</v>
      </c>
      <c r="G124" s="65">
        <v>497.72214400000001</v>
      </c>
      <c r="H124" s="55">
        <v>15.240000000000123</v>
      </c>
      <c r="I124" s="52">
        <v>35.795712000000002</v>
      </c>
      <c r="J124" s="101">
        <f t="shared" si="6"/>
        <v>1005.8464031057512</v>
      </c>
      <c r="K124">
        <f t="shared" si="7"/>
        <v>4.6525038877270601</v>
      </c>
      <c r="L124">
        <f t="shared" si="8"/>
        <v>1.1297572774956527E-2</v>
      </c>
      <c r="M124" s="52">
        <v>68.579999999999927</v>
      </c>
      <c r="N124" s="3">
        <v>0.31013399999999997</v>
      </c>
      <c r="O124" s="131"/>
      <c r="Q124" s="68">
        <v>1.2800000000000001E-2</v>
      </c>
      <c r="S124" s="72"/>
      <c r="T124" s="55"/>
    </row>
    <row r="125" spans="1:20" x14ac:dyDescent="0.3">
      <c r="A125" s="1">
        <v>124</v>
      </c>
      <c r="B125" s="45">
        <v>25.165873999999999</v>
      </c>
      <c r="C125" s="52">
        <v>241.31659999999999</v>
      </c>
      <c r="D125" s="1">
        <v>2</v>
      </c>
      <c r="E125" s="55">
        <f t="shared" si="5"/>
        <v>152.39999999999998</v>
      </c>
      <c r="F125" s="65">
        <v>584.19999999999993</v>
      </c>
      <c r="G125" s="65">
        <v>517.55916300000001</v>
      </c>
      <c r="H125" s="55">
        <v>23.876000000000033</v>
      </c>
      <c r="I125" s="52">
        <v>28.633674000000006</v>
      </c>
      <c r="J125" s="101">
        <f t="shared" si="6"/>
        <v>1287.2230401790939</v>
      </c>
      <c r="K125">
        <f t="shared" si="7"/>
        <v>7.7263317696870795</v>
      </c>
      <c r="L125">
        <f t="shared" si="8"/>
        <v>1.4457968859978272E-2</v>
      </c>
      <c r="M125" s="52">
        <v>52.323999999999955</v>
      </c>
      <c r="N125" s="3">
        <v>0.26949399999999996</v>
      </c>
      <c r="O125" s="131"/>
      <c r="Q125" s="68">
        <v>1.5900000000000001E-2</v>
      </c>
      <c r="S125" s="72"/>
      <c r="T125" s="55"/>
    </row>
    <row r="126" spans="1:20" x14ac:dyDescent="0.3">
      <c r="A126" s="1">
        <v>125</v>
      </c>
      <c r="B126" s="45">
        <v>24.545345599999997</v>
      </c>
      <c r="C126" s="52">
        <v>241.31659999999999</v>
      </c>
      <c r="D126" s="1">
        <v>2</v>
      </c>
      <c r="E126" s="55">
        <f t="shared" si="5"/>
        <v>152.39999999999998</v>
      </c>
      <c r="F126" s="65">
        <v>584.19999999999993</v>
      </c>
      <c r="G126" s="65">
        <v>517.55916300000001</v>
      </c>
      <c r="H126" s="55">
        <v>23.876000000000033</v>
      </c>
      <c r="I126" s="52">
        <v>28.633674000000006</v>
      </c>
      <c r="J126" s="101">
        <f t="shared" si="6"/>
        <v>1287.2230401790939</v>
      </c>
      <c r="K126">
        <f t="shared" si="7"/>
        <v>7.7263317696870795</v>
      </c>
      <c r="L126">
        <f t="shared" si="8"/>
        <v>1.4457968859978272E-2</v>
      </c>
      <c r="M126" s="52">
        <v>52.323999999999955</v>
      </c>
      <c r="N126" s="3">
        <v>0.18719799999999998</v>
      </c>
      <c r="O126" s="131"/>
      <c r="Q126" s="68">
        <v>1.5900000000000001E-2</v>
      </c>
      <c r="S126" s="72"/>
      <c r="T126" s="62"/>
    </row>
    <row r="127" spans="1:20" x14ac:dyDescent="0.3">
      <c r="A127" s="1">
        <v>126</v>
      </c>
      <c r="B127" s="46">
        <v>25.441664400000001</v>
      </c>
      <c r="C127" s="53">
        <v>275.79039999999998</v>
      </c>
      <c r="D127" s="1">
        <v>1</v>
      </c>
      <c r="E127" s="55">
        <f t="shared" si="5"/>
        <v>152.39999999999998</v>
      </c>
      <c r="F127" s="66">
        <v>381</v>
      </c>
      <c r="G127" s="66">
        <v>317.50126999999998</v>
      </c>
      <c r="H127" s="55">
        <v>50.799999999999955</v>
      </c>
      <c r="I127" s="53">
        <v>25.397459999999999</v>
      </c>
      <c r="J127" s="101">
        <f t="shared" si="6"/>
        <v>506.34931494450603</v>
      </c>
      <c r="K127">
        <f t="shared" si="7"/>
        <v>3.1896657772179435</v>
      </c>
      <c r="L127">
        <f t="shared" si="8"/>
        <v>8.7204778650000012E-3</v>
      </c>
      <c r="M127" s="53">
        <v>50.800000000000011</v>
      </c>
      <c r="N127" s="3">
        <v>0.27914600000000001</v>
      </c>
      <c r="O127" s="131"/>
      <c r="Q127" s="68">
        <v>1.01E-2</v>
      </c>
      <c r="S127" s="72"/>
      <c r="T127" s="55"/>
    </row>
    <row r="128" spans="1:20" x14ac:dyDescent="0.3">
      <c r="A128" s="1">
        <v>127</v>
      </c>
      <c r="B128" s="46">
        <v>25.855349999999998</v>
      </c>
      <c r="C128" s="53">
        <v>275.79039999999998</v>
      </c>
      <c r="D128" s="1">
        <v>1</v>
      </c>
      <c r="E128" s="55">
        <f t="shared" si="5"/>
        <v>152.39999999999998</v>
      </c>
      <c r="F128" s="66">
        <v>381</v>
      </c>
      <c r="G128" s="66">
        <v>317.50126999999998</v>
      </c>
      <c r="H128" s="55">
        <v>50.799999999999955</v>
      </c>
      <c r="I128" s="53">
        <v>25.397459999999999</v>
      </c>
      <c r="J128" s="101">
        <f t="shared" si="6"/>
        <v>506.34931494450603</v>
      </c>
      <c r="K128">
        <f t="shared" si="7"/>
        <v>3.1896657772179435</v>
      </c>
      <c r="L128">
        <f t="shared" si="8"/>
        <v>8.7204778650000012E-3</v>
      </c>
      <c r="M128" s="53">
        <v>50.800000000000011</v>
      </c>
      <c r="N128" s="3">
        <v>0.35255199999999998</v>
      </c>
      <c r="O128" s="131"/>
      <c r="Q128" s="68">
        <v>1.01E-2</v>
      </c>
      <c r="S128" s="72"/>
      <c r="T128" s="55"/>
    </row>
    <row r="129" spans="1:20" x14ac:dyDescent="0.3">
      <c r="A129" s="1">
        <v>128</v>
      </c>
      <c r="B129" s="46">
        <v>30.061153599999997</v>
      </c>
      <c r="C129" s="53">
        <v>275.79039999999998</v>
      </c>
      <c r="D129" s="1">
        <v>2</v>
      </c>
      <c r="E129" s="55">
        <f t="shared" si="5"/>
        <v>152.39999999999998</v>
      </c>
      <c r="F129" s="66">
        <v>381</v>
      </c>
      <c r="G129" s="66">
        <v>330.33842999999996</v>
      </c>
      <c r="H129" s="55">
        <v>35.051999999999964</v>
      </c>
      <c r="I129" s="53">
        <v>19.027139999999996</v>
      </c>
      <c r="J129" s="101">
        <f t="shared" si="6"/>
        <v>568.39032882997174</v>
      </c>
      <c r="K129">
        <f t="shared" si="7"/>
        <v>4.4877435012769737</v>
      </c>
      <c r="L129">
        <f t="shared" si="8"/>
        <v>9.7889641299999958E-3</v>
      </c>
      <c r="M129" s="53">
        <v>41.148000000000025</v>
      </c>
      <c r="N129" s="3">
        <v>0.32384999999999997</v>
      </c>
      <c r="O129" s="131"/>
      <c r="Q129" s="68">
        <v>1.0999999999999999E-2</v>
      </c>
      <c r="S129" s="72"/>
      <c r="T129" s="55"/>
    </row>
    <row r="130" spans="1:20" x14ac:dyDescent="0.3">
      <c r="A130" s="1">
        <v>129</v>
      </c>
      <c r="B130" s="46">
        <v>29.233782399999999</v>
      </c>
      <c r="C130" s="53">
        <v>275.79039999999998</v>
      </c>
      <c r="D130" s="1">
        <v>2</v>
      </c>
      <c r="E130" s="55">
        <f t="shared" si="5"/>
        <v>152.39999999999998</v>
      </c>
      <c r="F130" s="66">
        <v>381</v>
      </c>
      <c r="G130" s="66">
        <v>330.33842999999996</v>
      </c>
      <c r="H130" s="55">
        <v>35.051999999999964</v>
      </c>
      <c r="I130" s="53">
        <v>19.027139999999996</v>
      </c>
      <c r="J130" s="101">
        <f t="shared" si="6"/>
        <v>568.39032882997174</v>
      </c>
      <c r="K130">
        <f t="shared" si="7"/>
        <v>4.4877435012769737</v>
      </c>
      <c r="L130">
        <f t="shared" si="8"/>
        <v>9.7889641299999958E-3</v>
      </c>
      <c r="M130" s="53">
        <v>41.148000000000025</v>
      </c>
      <c r="N130" s="3">
        <v>0.19430999999999998</v>
      </c>
      <c r="O130" s="131"/>
      <c r="Q130" s="68">
        <v>1.0999999999999999E-2</v>
      </c>
      <c r="S130" s="72"/>
      <c r="T130" s="55"/>
    </row>
    <row r="131" spans="1:20" x14ac:dyDescent="0.3">
      <c r="A131" s="1">
        <v>130</v>
      </c>
      <c r="B131" s="46">
        <v>27.165354399999998</v>
      </c>
      <c r="C131" s="53">
        <v>275.79039999999998</v>
      </c>
      <c r="D131" s="1">
        <v>2</v>
      </c>
      <c r="E131" s="55">
        <f t="shared" ref="E131:E162" si="9">6*25.4</f>
        <v>152.39999999999998</v>
      </c>
      <c r="F131" s="66">
        <v>381</v>
      </c>
      <c r="G131" s="66">
        <v>323.98614400000002</v>
      </c>
      <c r="H131" s="55">
        <v>28.701999999999998</v>
      </c>
      <c r="I131" s="53">
        <v>19.031711999999999</v>
      </c>
      <c r="J131" s="101">
        <f t="shared" ref="J131:J194" si="10">D131*(3.14/4)*I131*I131</f>
        <v>568.66351679198203</v>
      </c>
      <c r="K131">
        <f t="shared" ref="K131:K194" si="11">J131/(2.5*(F131-G131))</f>
        <v>3.9896513352261755</v>
      </c>
      <c r="L131">
        <f t="shared" ref="L131:L194" si="12">J131/(E131*F131)</f>
        <v>9.7936690432000005E-3</v>
      </c>
      <c r="M131" s="53">
        <v>47.49799999999999</v>
      </c>
      <c r="N131" s="3">
        <v>0.22936199999999998</v>
      </c>
      <c r="O131" s="131"/>
      <c r="Q131" s="68">
        <v>1.12E-2</v>
      </c>
      <c r="S131" s="72"/>
      <c r="T131" s="55"/>
    </row>
    <row r="132" spans="1:20" x14ac:dyDescent="0.3">
      <c r="A132" s="1">
        <v>131</v>
      </c>
      <c r="B132" s="46">
        <v>26.820616399999999</v>
      </c>
      <c r="C132" s="53">
        <v>275.79039999999998</v>
      </c>
      <c r="D132" s="1">
        <v>2</v>
      </c>
      <c r="E132" s="55">
        <f t="shared" si="9"/>
        <v>152.39999999999998</v>
      </c>
      <c r="F132" s="66">
        <v>381</v>
      </c>
      <c r="G132" s="66">
        <v>346.01505599999996</v>
      </c>
      <c r="H132" s="55">
        <v>52.323999999999955</v>
      </c>
      <c r="I132" s="53">
        <v>22.217887999999999</v>
      </c>
      <c r="J132" s="101">
        <f t="shared" si="10"/>
        <v>775.00623907345403</v>
      </c>
      <c r="K132">
        <f t="shared" si="11"/>
        <v>8.8610259210185163</v>
      </c>
      <c r="L132">
        <f t="shared" si="12"/>
        <v>1.3347356367644446E-2</v>
      </c>
      <c r="M132" s="53">
        <v>23.876000000000033</v>
      </c>
      <c r="N132" s="3">
        <v>0.16840199999999997</v>
      </c>
      <c r="O132" s="131"/>
      <c r="Q132" s="68">
        <v>1.4200000000000001E-2</v>
      </c>
      <c r="S132" s="72"/>
      <c r="T132" s="55"/>
    </row>
    <row r="133" spans="1:20" x14ac:dyDescent="0.3">
      <c r="A133" s="1">
        <v>132</v>
      </c>
      <c r="B133" s="46">
        <v>22.407969999999999</v>
      </c>
      <c r="C133" s="53">
        <v>275.79039999999998</v>
      </c>
      <c r="D133" s="1">
        <v>2</v>
      </c>
      <c r="E133" s="55">
        <f t="shared" si="9"/>
        <v>152.39999999999998</v>
      </c>
      <c r="F133" s="66">
        <v>381</v>
      </c>
      <c r="G133" s="66">
        <v>320.62889899999999</v>
      </c>
      <c r="H133" s="55">
        <v>26.923999999999978</v>
      </c>
      <c r="I133" s="53">
        <v>22.190201999999999</v>
      </c>
      <c r="J133" s="101">
        <f t="shared" si="10"/>
        <v>773.07595173726236</v>
      </c>
      <c r="K133">
        <f t="shared" si="11"/>
        <v>5.1221590392215122</v>
      </c>
      <c r="L133">
        <f t="shared" si="12"/>
        <v>1.3314112463700003E-2</v>
      </c>
      <c r="M133" s="53">
        <v>49.27600000000001</v>
      </c>
      <c r="N133" s="3">
        <v>0.26796999999999999</v>
      </c>
      <c r="O133" s="131"/>
      <c r="Q133" s="68">
        <v>1.5299999999999999E-2</v>
      </c>
      <c r="S133" s="72"/>
      <c r="T133" s="55"/>
    </row>
    <row r="134" spans="1:20" x14ac:dyDescent="0.3">
      <c r="A134" s="1">
        <v>133</v>
      </c>
      <c r="B134" s="46">
        <v>29.509572800000001</v>
      </c>
      <c r="C134" s="53">
        <v>275.79039999999998</v>
      </c>
      <c r="D134" s="1">
        <v>2</v>
      </c>
      <c r="E134" s="55">
        <f t="shared" si="9"/>
        <v>152.39999999999998</v>
      </c>
      <c r="F134" s="66">
        <v>381</v>
      </c>
      <c r="G134" s="66">
        <v>320.62889899999999</v>
      </c>
      <c r="H134" s="55">
        <v>26.923999999999978</v>
      </c>
      <c r="I134" s="53">
        <v>22.190201999999999</v>
      </c>
      <c r="J134" s="101">
        <f t="shared" si="10"/>
        <v>773.07595173726236</v>
      </c>
      <c r="K134">
        <f t="shared" si="11"/>
        <v>5.1221590392215122</v>
      </c>
      <c r="L134">
        <f t="shared" si="12"/>
        <v>1.3314112463700003E-2</v>
      </c>
      <c r="M134" s="53">
        <v>49.27600000000001</v>
      </c>
      <c r="N134" s="3">
        <v>0.20066000000000001</v>
      </c>
      <c r="O134" s="131"/>
      <c r="Q134" s="68">
        <v>1.5299999999999999E-2</v>
      </c>
      <c r="S134" s="72"/>
      <c r="T134" s="55"/>
    </row>
    <row r="135" spans="1:20" x14ac:dyDescent="0.3">
      <c r="A135" s="1">
        <v>134</v>
      </c>
      <c r="B135" s="46">
        <v>29.026939599999999</v>
      </c>
      <c r="C135" s="53">
        <v>275.79039999999998</v>
      </c>
      <c r="D135" s="1">
        <v>2</v>
      </c>
      <c r="E135" s="55">
        <f t="shared" si="9"/>
        <v>152.39999999999998</v>
      </c>
      <c r="F135" s="66">
        <v>381</v>
      </c>
      <c r="G135" s="66">
        <v>320.62889899999999</v>
      </c>
      <c r="H135" s="55">
        <v>26.923999999999978</v>
      </c>
      <c r="I135" s="53">
        <v>22.190201999999999</v>
      </c>
      <c r="J135" s="101">
        <f t="shared" si="10"/>
        <v>773.07595173726236</v>
      </c>
      <c r="K135">
        <f t="shared" si="11"/>
        <v>5.1221590392215122</v>
      </c>
      <c r="L135">
        <f t="shared" si="12"/>
        <v>1.3314112463700003E-2</v>
      </c>
      <c r="M135" s="53">
        <v>49.27600000000001</v>
      </c>
      <c r="N135" s="3">
        <v>0.25171399999999999</v>
      </c>
      <c r="O135" s="131"/>
      <c r="Q135" s="68">
        <v>1.5299999999999999E-2</v>
      </c>
      <c r="S135" s="72"/>
      <c r="T135" s="55"/>
    </row>
    <row r="136" spans="1:20" x14ac:dyDescent="0.3">
      <c r="A136" s="1">
        <v>135</v>
      </c>
      <c r="B136" s="46">
        <v>27.854830399999997</v>
      </c>
      <c r="C136" s="53">
        <v>275.79039999999998</v>
      </c>
      <c r="D136" s="1">
        <v>2</v>
      </c>
      <c r="E136" s="55">
        <f t="shared" si="9"/>
        <v>152.39999999999998</v>
      </c>
      <c r="F136" s="66">
        <v>381</v>
      </c>
      <c r="G136" s="66">
        <v>320.62889899999999</v>
      </c>
      <c r="H136" s="55">
        <v>26.923999999999978</v>
      </c>
      <c r="I136" s="53">
        <v>22.190201999999999</v>
      </c>
      <c r="J136" s="101">
        <f t="shared" si="10"/>
        <v>773.07595173726236</v>
      </c>
      <c r="K136">
        <f t="shared" si="11"/>
        <v>5.1221590392215122</v>
      </c>
      <c r="L136">
        <f t="shared" si="12"/>
        <v>1.3314112463700003E-2</v>
      </c>
      <c r="M136" s="53">
        <v>49.27600000000001</v>
      </c>
      <c r="N136" s="3">
        <v>0.34518599999999999</v>
      </c>
      <c r="O136" s="131"/>
      <c r="Q136" s="68">
        <v>1.5299999999999999E-2</v>
      </c>
      <c r="S136" s="72"/>
      <c r="T136" s="55"/>
    </row>
    <row r="137" spans="1:20" x14ac:dyDescent="0.3">
      <c r="A137" s="1">
        <v>136</v>
      </c>
      <c r="B137" s="46">
        <v>24.614293199999999</v>
      </c>
      <c r="C137" s="53">
        <v>275.79039999999998</v>
      </c>
      <c r="D137" s="1">
        <v>1</v>
      </c>
      <c r="E137" s="55">
        <f t="shared" si="9"/>
        <v>152.39999999999998</v>
      </c>
      <c r="F137" s="66">
        <v>381</v>
      </c>
      <c r="G137" s="66">
        <v>310.52960499999995</v>
      </c>
      <c r="H137" s="55">
        <v>43.687999999999874</v>
      </c>
      <c r="I137" s="53">
        <v>32.228790000000004</v>
      </c>
      <c r="J137" s="101">
        <f t="shared" si="10"/>
        <v>815.3755003183187</v>
      </c>
      <c r="K137">
        <f t="shared" si="11"/>
        <v>4.6281874839402732</v>
      </c>
      <c r="L137">
        <f t="shared" si="12"/>
        <v>1.4042606146250004E-2</v>
      </c>
      <c r="M137" s="53">
        <v>54.356000000000051</v>
      </c>
      <c r="N137" s="3">
        <v>0.34696399999999999</v>
      </c>
      <c r="O137" s="131"/>
      <c r="Q137" s="68">
        <v>1.6500000000000001E-2</v>
      </c>
      <c r="S137" s="72"/>
      <c r="T137" s="55"/>
    </row>
    <row r="138" spans="1:20" x14ac:dyDescent="0.3">
      <c r="A138" s="1">
        <v>137</v>
      </c>
      <c r="B138" s="46">
        <v>28.682201599999999</v>
      </c>
      <c r="C138" s="53">
        <v>275.79039999999998</v>
      </c>
      <c r="D138" s="1">
        <v>1</v>
      </c>
      <c r="E138" s="55">
        <f t="shared" si="9"/>
        <v>152.39999999999998</v>
      </c>
      <c r="F138" s="66">
        <v>381</v>
      </c>
      <c r="G138" s="66">
        <v>310.52960499999995</v>
      </c>
      <c r="H138" s="55">
        <v>43.687999999999874</v>
      </c>
      <c r="I138" s="53">
        <v>32.228790000000004</v>
      </c>
      <c r="J138" s="101">
        <f t="shared" si="10"/>
        <v>815.3755003183187</v>
      </c>
      <c r="K138">
        <f t="shared" si="11"/>
        <v>4.6281874839402732</v>
      </c>
      <c r="L138">
        <f t="shared" si="12"/>
        <v>1.4042606146250004E-2</v>
      </c>
      <c r="M138" s="53">
        <v>54.356000000000051</v>
      </c>
      <c r="N138" s="3">
        <v>0.41605199999999992</v>
      </c>
      <c r="O138" s="131"/>
      <c r="Q138" s="68">
        <v>1.6500000000000001E-2</v>
      </c>
      <c r="S138" s="72"/>
      <c r="T138" s="55"/>
    </row>
    <row r="139" spans="1:20" x14ac:dyDescent="0.3">
      <c r="A139" s="1">
        <v>138</v>
      </c>
      <c r="B139" s="46">
        <v>26.613773599999998</v>
      </c>
      <c r="C139" s="53">
        <v>275.79039999999998</v>
      </c>
      <c r="D139" s="1">
        <v>2</v>
      </c>
      <c r="E139" s="55">
        <f t="shared" si="9"/>
        <v>152.39999999999998</v>
      </c>
      <c r="F139" s="66">
        <v>381</v>
      </c>
      <c r="G139" s="66">
        <v>317.51574799999997</v>
      </c>
      <c r="H139" s="55">
        <v>25.399999999999977</v>
      </c>
      <c r="I139" s="53">
        <v>25.368503999999998</v>
      </c>
      <c r="J139" s="101">
        <f t="shared" si="10"/>
        <v>1010.3907624608851</v>
      </c>
      <c r="K139">
        <f t="shared" si="11"/>
        <v>6.3662450489981968</v>
      </c>
      <c r="L139">
        <f t="shared" si="12"/>
        <v>1.7401209044800001E-2</v>
      </c>
      <c r="M139" s="53">
        <v>50.800000000000011</v>
      </c>
      <c r="N139" s="3">
        <v>0.52908200000000005</v>
      </c>
      <c r="O139" s="131"/>
      <c r="Q139" s="68">
        <v>2.0299999999999999E-2</v>
      </c>
      <c r="S139" s="72"/>
      <c r="T139" s="55"/>
    </row>
    <row r="140" spans="1:20" x14ac:dyDescent="0.3">
      <c r="A140" s="1">
        <v>139</v>
      </c>
      <c r="B140" s="46">
        <v>26.6827212</v>
      </c>
      <c r="C140" s="53">
        <v>275.79039999999998</v>
      </c>
      <c r="D140" s="1">
        <v>2</v>
      </c>
      <c r="E140" s="55">
        <f t="shared" si="9"/>
        <v>152.39999999999998</v>
      </c>
      <c r="F140" s="66">
        <v>381</v>
      </c>
      <c r="G140" s="66">
        <v>317.51574799999997</v>
      </c>
      <c r="H140" s="55">
        <v>25.399999999999977</v>
      </c>
      <c r="I140" s="53">
        <v>25.368503999999998</v>
      </c>
      <c r="J140" s="101">
        <f t="shared" si="10"/>
        <v>1010.3907624608851</v>
      </c>
      <c r="K140">
        <f t="shared" si="11"/>
        <v>6.3662450489981968</v>
      </c>
      <c r="L140">
        <f t="shared" si="12"/>
        <v>1.7401209044800001E-2</v>
      </c>
      <c r="M140" s="53">
        <v>50.800000000000011</v>
      </c>
      <c r="N140" s="3">
        <v>0.27736799999999995</v>
      </c>
      <c r="O140" s="131"/>
      <c r="Q140" s="68">
        <v>2.0299999999999999E-2</v>
      </c>
      <c r="S140" s="72"/>
      <c r="T140" s="55"/>
    </row>
    <row r="141" spans="1:20" x14ac:dyDescent="0.3">
      <c r="A141" s="1">
        <v>140</v>
      </c>
      <c r="B141" s="46">
        <v>28.130620799999999</v>
      </c>
      <c r="C141" s="53">
        <v>275.79039999999998</v>
      </c>
      <c r="D141" s="1">
        <v>2</v>
      </c>
      <c r="E141" s="55">
        <f t="shared" si="9"/>
        <v>152.39999999999998</v>
      </c>
      <c r="F141" s="66">
        <v>381</v>
      </c>
      <c r="G141" s="66">
        <v>330.11516399999999</v>
      </c>
      <c r="H141" s="55">
        <v>39.623999999999967</v>
      </c>
      <c r="I141" s="53">
        <v>28.617671999999995</v>
      </c>
      <c r="J141" s="101">
        <f t="shared" si="10"/>
        <v>1285.7847065983465</v>
      </c>
      <c r="K141">
        <f t="shared" si="11"/>
        <v>10.107409654210903</v>
      </c>
      <c r="L141">
        <f t="shared" si="12"/>
        <v>2.2144114235199994E-2</v>
      </c>
      <c r="M141" s="53">
        <v>36.576000000000022</v>
      </c>
      <c r="N141" s="3">
        <v>0.20370799999999997</v>
      </c>
      <c r="O141" s="131"/>
      <c r="Q141" s="68">
        <v>2.46E-2</v>
      </c>
      <c r="S141" s="72"/>
      <c r="T141" s="55"/>
    </row>
    <row r="142" spans="1:20" x14ac:dyDescent="0.3">
      <c r="A142" s="1">
        <v>141</v>
      </c>
      <c r="B142" s="46">
        <v>28.5443064</v>
      </c>
      <c r="C142" s="53">
        <v>275.79039999999998</v>
      </c>
      <c r="D142" s="1">
        <v>2</v>
      </c>
      <c r="E142" s="55">
        <f t="shared" si="9"/>
        <v>152.39999999999998</v>
      </c>
      <c r="F142" s="66">
        <v>381</v>
      </c>
      <c r="G142" s="66">
        <v>314.357258</v>
      </c>
      <c r="H142" s="55">
        <v>23.875999999999976</v>
      </c>
      <c r="I142" s="53">
        <v>28.637484000000001</v>
      </c>
      <c r="J142" s="101">
        <f t="shared" si="10"/>
        <v>1287.5656190649022</v>
      </c>
      <c r="K142">
        <f t="shared" si="11"/>
        <v>7.728167121724387</v>
      </c>
      <c r="L142">
        <f t="shared" si="12"/>
        <v>2.2174785566800009E-2</v>
      </c>
      <c r="M142" s="53">
        <v>52.324000000000012</v>
      </c>
      <c r="N142" s="3">
        <v>0.290576</v>
      </c>
      <c r="O142" s="131"/>
      <c r="Q142" s="68">
        <v>2.58E-2</v>
      </c>
      <c r="S142" s="72"/>
      <c r="T142" s="55"/>
    </row>
    <row r="143" spans="1:20" x14ac:dyDescent="0.3">
      <c r="A143" s="1">
        <v>142</v>
      </c>
      <c r="B143" s="46">
        <v>28.5443064</v>
      </c>
      <c r="C143" s="53">
        <v>275.79039999999998</v>
      </c>
      <c r="D143" s="1">
        <v>2</v>
      </c>
      <c r="E143" s="55">
        <f t="shared" si="9"/>
        <v>152.39999999999998</v>
      </c>
      <c r="F143" s="66">
        <v>381</v>
      </c>
      <c r="G143" s="66">
        <v>314.357258</v>
      </c>
      <c r="H143" s="55">
        <v>23.875999999999976</v>
      </c>
      <c r="I143" s="53">
        <v>28.637484000000001</v>
      </c>
      <c r="J143" s="101">
        <f t="shared" si="10"/>
        <v>1287.5656190649022</v>
      </c>
      <c r="K143">
        <f t="shared" si="11"/>
        <v>7.728167121724387</v>
      </c>
      <c r="L143">
        <f t="shared" si="12"/>
        <v>2.2174785566800009E-2</v>
      </c>
      <c r="M143" s="53">
        <v>52.324000000000012</v>
      </c>
      <c r="N143" s="3">
        <v>0.263652</v>
      </c>
      <c r="O143" s="131"/>
      <c r="Q143" s="68">
        <v>2.58E-2</v>
      </c>
      <c r="S143" s="72"/>
      <c r="T143" s="55"/>
    </row>
    <row r="144" spans="1:20" x14ac:dyDescent="0.3">
      <c r="A144" s="1">
        <v>143</v>
      </c>
      <c r="B144" s="46">
        <v>24.407450399999998</v>
      </c>
      <c r="C144" s="53">
        <v>275.79039999999998</v>
      </c>
      <c r="D144" s="1">
        <v>2</v>
      </c>
      <c r="E144" s="55">
        <f t="shared" si="9"/>
        <v>152.39999999999998</v>
      </c>
      <c r="F144" s="66">
        <v>381</v>
      </c>
      <c r="G144" s="66">
        <v>314.357258</v>
      </c>
      <c r="H144" s="55">
        <v>23.875999999999976</v>
      </c>
      <c r="I144" s="53">
        <v>28.637484000000001</v>
      </c>
      <c r="J144" s="101">
        <f t="shared" si="10"/>
        <v>1287.5656190649022</v>
      </c>
      <c r="K144">
        <f t="shared" si="11"/>
        <v>7.728167121724387</v>
      </c>
      <c r="L144">
        <f t="shared" si="12"/>
        <v>2.2174785566800009E-2</v>
      </c>
      <c r="M144" s="53">
        <v>52.324000000000012</v>
      </c>
      <c r="N144" s="3">
        <v>0.24155399999999996</v>
      </c>
      <c r="O144" s="131"/>
      <c r="Q144" s="68">
        <v>2.58E-2</v>
      </c>
      <c r="S144" s="72"/>
      <c r="T144" s="55"/>
    </row>
    <row r="145" spans="1:20" x14ac:dyDescent="0.3">
      <c r="A145" s="1">
        <v>144</v>
      </c>
      <c r="B145" s="47">
        <v>27.303249600000001</v>
      </c>
      <c r="C145" s="53">
        <v>275.79039999999998</v>
      </c>
      <c r="D145" s="1">
        <v>1</v>
      </c>
      <c r="E145" s="55">
        <f t="shared" si="9"/>
        <v>152.39999999999998</v>
      </c>
      <c r="F145" s="66">
        <v>584.19999999999993</v>
      </c>
      <c r="G145" s="66">
        <v>513.72046099999989</v>
      </c>
      <c r="H145" s="55">
        <v>43.687999999999988</v>
      </c>
      <c r="I145" s="53">
        <v>32.247078000000002</v>
      </c>
      <c r="J145" s="101">
        <f t="shared" si="10"/>
        <v>816.30112103739611</v>
      </c>
      <c r="K145">
        <f t="shared" si="11"/>
        <v>4.6328402973089569</v>
      </c>
      <c r="L145">
        <f t="shared" si="12"/>
        <v>9.1686178851195701E-3</v>
      </c>
      <c r="M145" s="53">
        <v>54.355999999999995</v>
      </c>
      <c r="N145" s="3">
        <v>0.42011599999999993</v>
      </c>
      <c r="O145" s="131"/>
      <c r="Q145" s="68">
        <v>1.01E-2</v>
      </c>
      <c r="S145" s="72"/>
      <c r="T145" s="55"/>
    </row>
    <row r="146" spans="1:20" x14ac:dyDescent="0.3">
      <c r="A146" s="1">
        <v>145</v>
      </c>
      <c r="B146" s="47">
        <v>24.959031199999998</v>
      </c>
      <c r="C146" s="53">
        <v>275.79039999999998</v>
      </c>
      <c r="D146" s="1">
        <v>1</v>
      </c>
      <c r="E146" s="55">
        <f t="shared" si="9"/>
        <v>152.39999999999998</v>
      </c>
      <c r="F146" s="66">
        <v>584.19999999999993</v>
      </c>
      <c r="G146" s="66">
        <v>513.72046099999989</v>
      </c>
      <c r="H146" s="55">
        <v>43.687999999999988</v>
      </c>
      <c r="I146" s="53">
        <v>32.247078000000002</v>
      </c>
      <c r="J146" s="101">
        <f t="shared" si="10"/>
        <v>816.30112103739611</v>
      </c>
      <c r="K146">
        <f t="shared" si="11"/>
        <v>4.6328402973089569</v>
      </c>
      <c r="L146">
        <f t="shared" si="12"/>
        <v>9.1686178851195701E-3</v>
      </c>
      <c r="M146" s="53">
        <v>54.355999999999995</v>
      </c>
      <c r="N146" s="3">
        <v>0.37515799999999999</v>
      </c>
      <c r="O146" s="131"/>
      <c r="Q146" s="68">
        <v>1.01E-2</v>
      </c>
      <c r="S146" s="72"/>
      <c r="T146" s="55"/>
    </row>
    <row r="147" spans="1:20" x14ac:dyDescent="0.3">
      <c r="A147" s="1">
        <v>146</v>
      </c>
      <c r="B147" s="47">
        <v>27.0964068</v>
      </c>
      <c r="C147" s="53">
        <v>275.79039999999998</v>
      </c>
      <c r="D147" s="1">
        <v>1</v>
      </c>
      <c r="E147" s="55">
        <f t="shared" si="9"/>
        <v>152.39999999999998</v>
      </c>
      <c r="F147" s="66">
        <v>584.19999999999993</v>
      </c>
      <c r="G147" s="66">
        <v>497.72214400000001</v>
      </c>
      <c r="H147" s="55">
        <v>15.240000000000123</v>
      </c>
      <c r="I147" s="53">
        <v>35.795712000000002</v>
      </c>
      <c r="J147" s="101">
        <f t="shared" si="10"/>
        <v>1005.8464031057512</v>
      </c>
      <c r="K147">
        <f t="shared" si="11"/>
        <v>4.6525038877270601</v>
      </c>
      <c r="L147">
        <f t="shared" si="12"/>
        <v>1.1297572774956527E-2</v>
      </c>
      <c r="M147" s="53">
        <v>68.579999999999927</v>
      </c>
      <c r="N147" s="3">
        <v>0.35382199999999997</v>
      </c>
      <c r="O147" s="131"/>
      <c r="Q147" s="68">
        <v>1.2800000000000001E-2</v>
      </c>
      <c r="S147" s="72"/>
      <c r="T147" s="55"/>
    </row>
    <row r="148" spans="1:20" x14ac:dyDescent="0.3">
      <c r="A148" s="1">
        <v>147</v>
      </c>
      <c r="B148" s="47">
        <v>25.165873999999999</v>
      </c>
      <c r="C148" s="53">
        <v>275.79039999999998</v>
      </c>
      <c r="D148" s="1">
        <v>2</v>
      </c>
      <c r="E148" s="55">
        <f t="shared" si="9"/>
        <v>152.39999999999998</v>
      </c>
      <c r="F148" s="66">
        <v>584.19999999999993</v>
      </c>
      <c r="G148" s="66">
        <v>517.55916300000001</v>
      </c>
      <c r="H148" s="55">
        <v>23.876000000000033</v>
      </c>
      <c r="I148" s="53">
        <v>28.633674000000006</v>
      </c>
      <c r="J148" s="101">
        <f t="shared" si="10"/>
        <v>1287.2230401790939</v>
      </c>
      <c r="K148">
        <f t="shared" si="11"/>
        <v>7.7263317696870795</v>
      </c>
      <c r="L148">
        <f t="shared" si="12"/>
        <v>1.4457968859978272E-2</v>
      </c>
      <c r="M148" s="53">
        <v>52.323999999999955</v>
      </c>
      <c r="N148" s="3">
        <v>0.324104</v>
      </c>
      <c r="O148" s="131"/>
      <c r="Q148" s="68">
        <v>1.5900000000000001E-2</v>
      </c>
      <c r="S148" s="72"/>
      <c r="T148" s="55"/>
    </row>
    <row r="149" spans="1:20" x14ac:dyDescent="0.3">
      <c r="A149" s="1">
        <v>148</v>
      </c>
      <c r="B149" s="47">
        <v>24.545345599999997</v>
      </c>
      <c r="C149" s="53">
        <v>275.79039999999998</v>
      </c>
      <c r="D149" s="1">
        <v>2</v>
      </c>
      <c r="E149" s="55">
        <f t="shared" si="9"/>
        <v>152.39999999999998</v>
      </c>
      <c r="F149" s="66">
        <v>584.19999999999993</v>
      </c>
      <c r="G149" s="66">
        <v>517.55916300000001</v>
      </c>
      <c r="H149" s="55">
        <v>23.876000000000033</v>
      </c>
      <c r="I149" s="53">
        <v>28.633674000000006</v>
      </c>
      <c r="J149" s="101">
        <f t="shared" si="10"/>
        <v>1287.2230401790939</v>
      </c>
      <c r="K149">
        <f t="shared" si="11"/>
        <v>7.7263317696870795</v>
      </c>
      <c r="L149">
        <f t="shared" si="12"/>
        <v>1.4457968859978272E-2</v>
      </c>
      <c r="M149" s="53">
        <v>52.323999999999955</v>
      </c>
      <c r="N149" s="3">
        <v>0.22352</v>
      </c>
      <c r="O149" s="131"/>
      <c r="Q149" s="68">
        <v>1.5900000000000001E-2</v>
      </c>
      <c r="S149" s="72"/>
      <c r="T149" s="62"/>
    </row>
    <row r="150" spans="1:20" x14ac:dyDescent="0.3">
      <c r="A150" s="1">
        <v>149</v>
      </c>
      <c r="B150" s="48">
        <v>25.441664400000001</v>
      </c>
      <c r="C150" s="54">
        <v>310.26420000000002</v>
      </c>
      <c r="D150" s="1">
        <v>1</v>
      </c>
      <c r="E150" s="55">
        <f t="shared" si="9"/>
        <v>152.39999999999998</v>
      </c>
      <c r="F150" s="67">
        <v>381</v>
      </c>
      <c r="G150" s="67">
        <v>317.50126999999998</v>
      </c>
      <c r="H150" s="55">
        <v>50.799999999999955</v>
      </c>
      <c r="I150" s="54">
        <v>25.397459999999999</v>
      </c>
      <c r="J150" s="101">
        <f t="shared" si="10"/>
        <v>506.34931494450603</v>
      </c>
      <c r="K150">
        <f t="shared" si="11"/>
        <v>3.1896657772179435</v>
      </c>
      <c r="L150">
        <f t="shared" si="12"/>
        <v>8.7204778650000012E-3</v>
      </c>
      <c r="M150" s="54">
        <v>50.800000000000011</v>
      </c>
      <c r="N150" s="3">
        <v>0.37668199999999996</v>
      </c>
      <c r="O150" s="131"/>
      <c r="Q150" s="68">
        <v>1.01E-2</v>
      </c>
      <c r="S150" s="72"/>
      <c r="T150" s="55"/>
    </row>
    <row r="151" spans="1:20" x14ac:dyDescent="0.3">
      <c r="A151" s="1">
        <v>150</v>
      </c>
      <c r="B151" s="48">
        <v>25.855349999999998</v>
      </c>
      <c r="C151" s="54">
        <v>310.26420000000002</v>
      </c>
      <c r="D151" s="1">
        <v>1</v>
      </c>
      <c r="E151" s="55">
        <f t="shared" si="9"/>
        <v>152.39999999999998</v>
      </c>
      <c r="F151" s="67">
        <v>381</v>
      </c>
      <c r="G151" s="67">
        <v>317.50126999999998</v>
      </c>
      <c r="H151" s="55">
        <v>50.799999999999955</v>
      </c>
      <c r="I151" s="54">
        <v>25.397459999999999</v>
      </c>
      <c r="J151" s="101">
        <f t="shared" si="10"/>
        <v>506.34931494450603</v>
      </c>
      <c r="K151">
        <f t="shared" si="11"/>
        <v>3.1896657772179435</v>
      </c>
      <c r="L151">
        <f t="shared" si="12"/>
        <v>8.7204778650000012E-3</v>
      </c>
      <c r="M151" s="54">
        <v>50.800000000000011</v>
      </c>
      <c r="N151" s="3">
        <v>0.61010799999999998</v>
      </c>
      <c r="O151" s="131"/>
      <c r="Q151" s="68">
        <v>1.01E-2</v>
      </c>
      <c r="S151" s="72"/>
      <c r="T151" s="55"/>
    </row>
    <row r="152" spans="1:20" x14ac:dyDescent="0.3">
      <c r="A152" s="1">
        <v>151</v>
      </c>
      <c r="B152" s="48">
        <v>30.061153599999997</v>
      </c>
      <c r="C152" s="54">
        <v>310.26420000000002</v>
      </c>
      <c r="D152" s="1">
        <v>2</v>
      </c>
      <c r="E152" s="55">
        <f t="shared" si="9"/>
        <v>152.39999999999998</v>
      </c>
      <c r="F152" s="67">
        <v>381</v>
      </c>
      <c r="G152" s="67">
        <v>330.33842999999996</v>
      </c>
      <c r="H152" s="55">
        <v>35.051999999999964</v>
      </c>
      <c r="I152" s="54">
        <v>19.027139999999996</v>
      </c>
      <c r="J152" s="101">
        <f t="shared" si="10"/>
        <v>568.39032882997174</v>
      </c>
      <c r="K152">
        <f t="shared" si="11"/>
        <v>4.4877435012769737</v>
      </c>
      <c r="L152">
        <f t="shared" si="12"/>
        <v>9.7889641299999958E-3</v>
      </c>
      <c r="M152" s="54">
        <v>41.148000000000025</v>
      </c>
      <c r="N152" s="3">
        <v>0.36906199999999995</v>
      </c>
      <c r="O152" s="131"/>
      <c r="Q152" s="68">
        <v>1.0999999999999999E-2</v>
      </c>
      <c r="S152" s="72"/>
      <c r="T152" s="55"/>
    </row>
    <row r="153" spans="1:20" x14ac:dyDescent="0.3">
      <c r="A153" s="1">
        <v>152</v>
      </c>
      <c r="B153" s="48">
        <v>29.233782399999999</v>
      </c>
      <c r="C153" s="54">
        <v>310.26420000000002</v>
      </c>
      <c r="D153" s="1">
        <v>2</v>
      </c>
      <c r="E153" s="55">
        <f t="shared" si="9"/>
        <v>152.39999999999998</v>
      </c>
      <c r="F153" s="67">
        <v>381</v>
      </c>
      <c r="G153" s="67">
        <v>330.33842999999996</v>
      </c>
      <c r="H153" s="55">
        <v>35.051999999999964</v>
      </c>
      <c r="I153" s="54">
        <v>19.027139999999996</v>
      </c>
      <c r="J153" s="101">
        <f t="shared" si="10"/>
        <v>568.39032882997174</v>
      </c>
      <c r="K153">
        <f t="shared" si="11"/>
        <v>4.4877435012769737</v>
      </c>
      <c r="L153">
        <f t="shared" si="12"/>
        <v>9.7889641299999958E-3</v>
      </c>
      <c r="M153" s="54">
        <v>41.148000000000025</v>
      </c>
      <c r="N153" s="3">
        <v>0.23266399999999998</v>
      </c>
      <c r="O153" s="131"/>
      <c r="Q153" s="68">
        <v>1.0999999999999999E-2</v>
      </c>
      <c r="S153" s="72"/>
      <c r="T153" s="55"/>
    </row>
    <row r="154" spans="1:20" x14ac:dyDescent="0.3">
      <c r="A154" s="1">
        <v>153</v>
      </c>
      <c r="B154" s="48">
        <v>27.165354399999998</v>
      </c>
      <c r="C154" s="54">
        <v>310.26420000000002</v>
      </c>
      <c r="D154" s="1">
        <v>2</v>
      </c>
      <c r="E154" s="55">
        <f t="shared" si="9"/>
        <v>152.39999999999998</v>
      </c>
      <c r="F154" s="67">
        <v>381</v>
      </c>
      <c r="G154" s="67">
        <v>323.98614400000002</v>
      </c>
      <c r="H154" s="55">
        <v>28.701999999999998</v>
      </c>
      <c r="I154" s="54">
        <v>19.031711999999999</v>
      </c>
      <c r="J154" s="101">
        <f t="shared" si="10"/>
        <v>568.66351679198203</v>
      </c>
      <c r="K154">
        <f t="shared" si="11"/>
        <v>3.9896513352261755</v>
      </c>
      <c r="L154">
        <f t="shared" si="12"/>
        <v>9.7936690432000005E-3</v>
      </c>
      <c r="M154" s="54">
        <v>47.49799999999999</v>
      </c>
      <c r="N154" s="3">
        <v>0.270256</v>
      </c>
      <c r="O154" s="131"/>
      <c r="Q154" s="68">
        <v>1.12E-2</v>
      </c>
      <c r="S154" s="72"/>
      <c r="T154" s="55"/>
    </row>
    <row r="155" spans="1:20" x14ac:dyDescent="0.3">
      <c r="A155" s="1">
        <v>154</v>
      </c>
      <c r="B155" s="48">
        <v>26.820616399999999</v>
      </c>
      <c r="C155" s="54">
        <v>310.26420000000002</v>
      </c>
      <c r="D155" s="1">
        <v>2</v>
      </c>
      <c r="E155" s="55">
        <f t="shared" si="9"/>
        <v>152.39999999999998</v>
      </c>
      <c r="F155" s="67">
        <v>381</v>
      </c>
      <c r="G155" s="67">
        <v>346.01505599999996</v>
      </c>
      <c r="H155" s="55">
        <v>52.323999999999955</v>
      </c>
      <c r="I155" s="54">
        <v>22.217887999999999</v>
      </c>
      <c r="J155" s="101">
        <f t="shared" si="10"/>
        <v>775.00623907345403</v>
      </c>
      <c r="K155">
        <f t="shared" si="11"/>
        <v>8.8610259210185163</v>
      </c>
      <c r="L155">
        <f t="shared" si="12"/>
        <v>1.3347356367644446E-2</v>
      </c>
      <c r="M155" s="54">
        <v>23.876000000000033</v>
      </c>
      <c r="N155" s="3">
        <v>0.19253199999999998</v>
      </c>
      <c r="O155" s="131"/>
      <c r="Q155" s="71">
        <v>1.4200000000000001E-2</v>
      </c>
      <c r="S155" s="71"/>
      <c r="T155" s="55"/>
    </row>
    <row r="156" spans="1:20" x14ac:dyDescent="0.3">
      <c r="A156" s="1">
        <v>155</v>
      </c>
      <c r="B156" s="48">
        <v>22.407969999999999</v>
      </c>
      <c r="C156" s="48">
        <v>310.26420000000002</v>
      </c>
      <c r="D156" s="1">
        <v>2</v>
      </c>
      <c r="E156" s="55">
        <f t="shared" si="9"/>
        <v>152.39999999999998</v>
      </c>
      <c r="F156" s="48">
        <v>381</v>
      </c>
      <c r="G156" s="48">
        <v>320.62889899999999</v>
      </c>
      <c r="H156" s="55">
        <v>26.923999999999978</v>
      </c>
      <c r="I156" s="54">
        <v>22.190201999999999</v>
      </c>
      <c r="J156" s="101">
        <f t="shared" si="10"/>
        <v>773.07595173726236</v>
      </c>
      <c r="K156">
        <f t="shared" si="11"/>
        <v>5.1221590392215122</v>
      </c>
      <c r="L156">
        <f t="shared" si="12"/>
        <v>1.3314112463700003E-2</v>
      </c>
      <c r="M156" s="48">
        <v>49.27600000000001</v>
      </c>
      <c r="N156" s="3">
        <v>0.30124400000000001</v>
      </c>
      <c r="O156" s="131"/>
      <c r="Q156" s="71">
        <v>1.5299999999999999E-2</v>
      </c>
      <c r="S156" s="71"/>
      <c r="T156" s="55"/>
    </row>
    <row r="157" spans="1:20" x14ac:dyDescent="0.3">
      <c r="A157" s="1">
        <v>156</v>
      </c>
      <c r="B157" s="48">
        <v>29.509572800000001</v>
      </c>
      <c r="C157" s="48">
        <v>310.26420000000002</v>
      </c>
      <c r="D157" s="1">
        <v>2</v>
      </c>
      <c r="E157" s="55">
        <f t="shared" si="9"/>
        <v>152.39999999999998</v>
      </c>
      <c r="F157" s="48">
        <v>381</v>
      </c>
      <c r="G157" s="48">
        <v>320.62889899999999</v>
      </c>
      <c r="H157" s="55">
        <v>26.923999999999978</v>
      </c>
      <c r="I157" s="54">
        <v>22.190201999999999</v>
      </c>
      <c r="J157" s="101">
        <f t="shared" si="10"/>
        <v>773.07595173726236</v>
      </c>
      <c r="K157">
        <f t="shared" si="11"/>
        <v>5.1221590392215122</v>
      </c>
      <c r="L157">
        <f t="shared" si="12"/>
        <v>1.3314112463700003E-2</v>
      </c>
      <c r="M157" s="48">
        <v>49.27600000000001</v>
      </c>
      <c r="N157" s="3">
        <v>0.23621999999999996</v>
      </c>
      <c r="O157" s="131"/>
      <c r="Q157" s="71">
        <v>1.5299999999999999E-2</v>
      </c>
      <c r="S157" s="71"/>
      <c r="T157" s="55"/>
    </row>
    <row r="158" spans="1:20" x14ac:dyDescent="0.3">
      <c r="A158" s="1">
        <v>157</v>
      </c>
      <c r="B158" s="48">
        <v>24.614293199999999</v>
      </c>
      <c r="C158" s="48">
        <v>310.26420000000002</v>
      </c>
      <c r="D158" s="1">
        <v>1</v>
      </c>
      <c r="E158" s="55">
        <f t="shared" si="9"/>
        <v>152.39999999999998</v>
      </c>
      <c r="F158" s="48">
        <v>381</v>
      </c>
      <c r="G158" s="48">
        <v>310.52960499999995</v>
      </c>
      <c r="H158" s="55">
        <v>43.687999999999874</v>
      </c>
      <c r="I158" s="54">
        <v>32.228790000000004</v>
      </c>
      <c r="J158" s="101">
        <f t="shared" si="10"/>
        <v>815.3755003183187</v>
      </c>
      <c r="K158">
        <f t="shared" si="11"/>
        <v>4.6281874839402732</v>
      </c>
      <c r="L158">
        <f t="shared" si="12"/>
        <v>1.4042606146250004E-2</v>
      </c>
      <c r="M158" s="48">
        <v>54.356000000000051</v>
      </c>
      <c r="N158" s="3">
        <v>0.41249599999999997</v>
      </c>
      <c r="O158" s="131"/>
      <c r="Q158" s="71">
        <v>1.6500000000000001E-2</v>
      </c>
      <c r="S158" s="71"/>
      <c r="T158" s="55"/>
    </row>
    <row r="159" spans="1:20" x14ac:dyDescent="0.3">
      <c r="A159" s="1">
        <v>158</v>
      </c>
      <c r="B159" s="48">
        <v>28.682201599999999</v>
      </c>
      <c r="C159" s="48">
        <v>310.26420000000002</v>
      </c>
      <c r="D159" s="1">
        <v>1</v>
      </c>
      <c r="E159" s="55">
        <f t="shared" si="9"/>
        <v>152.39999999999998</v>
      </c>
      <c r="F159" s="48">
        <v>381</v>
      </c>
      <c r="G159" s="48">
        <v>310.52960499999995</v>
      </c>
      <c r="H159" s="55">
        <v>43.687999999999874</v>
      </c>
      <c r="I159" s="54">
        <v>32.228790000000004</v>
      </c>
      <c r="J159" s="101">
        <f t="shared" si="10"/>
        <v>815.3755003183187</v>
      </c>
      <c r="K159">
        <f t="shared" si="11"/>
        <v>4.6281874839402732</v>
      </c>
      <c r="L159">
        <f t="shared" si="12"/>
        <v>1.4042606146250004E-2</v>
      </c>
      <c r="M159" s="48">
        <v>54.356000000000051</v>
      </c>
      <c r="N159" s="3">
        <v>0.49021999999999999</v>
      </c>
      <c r="O159" s="131"/>
      <c r="Q159" s="71">
        <v>1.6500000000000001E-2</v>
      </c>
      <c r="S159" s="71"/>
      <c r="T159" s="55"/>
    </row>
    <row r="160" spans="1:20" x14ac:dyDescent="0.3">
      <c r="A160" s="1">
        <v>159</v>
      </c>
      <c r="B160" s="48">
        <v>28.130620799999999</v>
      </c>
      <c r="C160" s="48">
        <v>310.26420000000002</v>
      </c>
      <c r="D160" s="1">
        <v>2</v>
      </c>
      <c r="E160" s="55">
        <f t="shared" si="9"/>
        <v>152.39999999999998</v>
      </c>
      <c r="F160" s="48">
        <v>381</v>
      </c>
      <c r="G160" s="48">
        <v>330.11516399999999</v>
      </c>
      <c r="H160" s="55">
        <v>39.623999999999967</v>
      </c>
      <c r="I160" s="54">
        <v>28.617671999999995</v>
      </c>
      <c r="J160" s="101">
        <f t="shared" si="10"/>
        <v>1285.7847065983465</v>
      </c>
      <c r="K160">
        <f t="shared" si="11"/>
        <v>10.107409654210903</v>
      </c>
      <c r="L160">
        <f t="shared" si="12"/>
        <v>2.2144114235199994E-2</v>
      </c>
      <c r="M160" s="48">
        <v>36.576000000000022</v>
      </c>
      <c r="N160" s="3">
        <v>0.23698199999999997</v>
      </c>
      <c r="O160" s="131"/>
      <c r="Q160" s="71">
        <v>2.46E-2</v>
      </c>
      <c r="S160" s="71"/>
      <c r="T160" s="55"/>
    </row>
    <row r="161" spans="1:20" x14ac:dyDescent="0.3">
      <c r="A161" s="1">
        <v>160</v>
      </c>
      <c r="B161" s="49">
        <v>27.303249600000001</v>
      </c>
      <c r="C161" s="48">
        <v>310.26420000000002</v>
      </c>
      <c r="D161" s="1">
        <v>1</v>
      </c>
      <c r="E161" s="55">
        <f t="shared" si="9"/>
        <v>152.39999999999998</v>
      </c>
      <c r="F161" s="48">
        <v>584.19999999999993</v>
      </c>
      <c r="G161" s="48">
        <v>513.72046099999989</v>
      </c>
      <c r="H161" s="55">
        <v>43.687999999999988</v>
      </c>
      <c r="I161" s="54">
        <v>32.247078000000002</v>
      </c>
      <c r="J161" s="101">
        <f t="shared" si="10"/>
        <v>816.30112103739611</v>
      </c>
      <c r="K161">
        <f t="shared" si="11"/>
        <v>4.6328402973089569</v>
      </c>
      <c r="L161">
        <f t="shared" si="12"/>
        <v>9.1686178851195701E-3</v>
      </c>
      <c r="M161" s="48">
        <v>54.355999999999995</v>
      </c>
      <c r="N161" s="3">
        <v>0.48463199999999995</v>
      </c>
      <c r="O161" s="131"/>
      <c r="Q161" s="71">
        <v>1.01E-2</v>
      </c>
      <c r="S161" s="71"/>
      <c r="T161" s="55"/>
    </row>
    <row r="162" spans="1:20" x14ac:dyDescent="0.3">
      <c r="A162" s="1">
        <v>161</v>
      </c>
      <c r="B162" s="49">
        <v>24.959031199999998</v>
      </c>
      <c r="C162" s="48">
        <v>310.26420000000002</v>
      </c>
      <c r="D162" s="1">
        <v>1</v>
      </c>
      <c r="E162" s="55">
        <f t="shared" si="9"/>
        <v>152.39999999999998</v>
      </c>
      <c r="F162" s="48">
        <v>584.19999999999993</v>
      </c>
      <c r="G162" s="48">
        <v>513.72046099999989</v>
      </c>
      <c r="H162" s="3">
        <v>43.687999999999988</v>
      </c>
      <c r="I162" s="54">
        <v>32.247078000000002</v>
      </c>
      <c r="J162" s="101">
        <f t="shared" si="10"/>
        <v>816.30112103739611</v>
      </c>
      <c r="K162">
        <f t="shared" si="11"/>
        <v>4.6328402973089569</v>
      </c>
      <c r="L162">
        <f t="shared" si="12"/>
        <v>9.1686178851195701E-3</v>
      </c>
      <c r="M162" s="48">
        <v>54.355999999999995</v>
      </c>
      <c r="N162" s="3">
        <v>0.43002200000000002</v>
      </c>
      <c r="O162" s="131"/>
      <c r="Q162" s="3">
        <v>1.01E-2</v>
      </c>
    </row>
    <row r="163" spans="1:20" ht="15.6" x14ac:dyDescent="0.3">
      <c r="A163" s="1">
        <v>162</v>
      </c>
      <c r="B163" s="7">
        <v>40.265398399999995</v>
      </c>
      <c r="C163" s="13">
        <v>103.42139999999999</v>
      </c>
      <c r="D163" s="3">
        <v>2</v>
      </c>
      <c r="E163" s="82">
        <v>190.5</v>
      </c>
      <c r="F163" s="83">
        <v>152.39999999999998</v>
      </c>
      <c r="G163" s="83">
        <v>127</v>
      </c>
      <c r="H163" s="3">
        <v>76.200000000000017</v>
      </c>
      <c r="I163" s="3">
        <v>12.7</v>
      </c>
      <c r="J163" s="101">
        <f t="shared" si="10"/>
        <v>253.22529999999998</v>
      </c>
      <c r="K163">
        <f t="shared" si="11"/>
        <v>3.9878000000000031</v>
      </c>
      <c r="L163">
        <f t="shared" si="12"/>
        <v>8.7222222222222215E-3</v>
      </c>
      <c r="M163" s="3">
        <v>19.049999999999983</v>
      </c>
      <c r="N163" s="3">
        <v>2.3113999999999999E-2</v>
      </c>
      <c r="O163" s="132" t="s">
        <v>27</v>
      </c>
      <c r="Q163" s="3">
        <v>1</v>
      </c>
    </row>
    <row r="164" spans="1:20" ht="15.6" x14ac:dyDescent="0.3">
      <c r="A164" s="1">
        <v>163</v>
      </c>
      <c r="B164" s="7">
        <v>42.126983599999996</v>
      </c>
      <c r="C164" s="13">
        <v>103.42139999999999</v>
      </c>
      <c r="D164" s="3">
        <v>2</v>
      </c>
      <c r="E164" s="82">
        <v>279.39999999999998</v>
      </c>
      <c r="F164" s="83">
        <v>152.39999999999998</v>
      </c>
      <c r="G164" s="83">
        <v>120.523</v>
      </c>
      <c r="H164" s="3">
        <v>117.34800000000001</v>
      </c>
      <c r="I164" s="3">
        <v>19.05</v>
      </c>
      <c r="J164" s="101">
        <f t="shared" si="10"/>
        <v>569.75692500000014</v>
      </c>
      <c r="K164">
        <f t="shared" si="11"/>
        <v>7.1494422310757031</v>
      </c>
      <c r="L164">
        <f t="shared" si="12"/>
        <v>1.3380681818181825E-2</v>
      </c>
      <c r="M164" s="3">
        <v>22.351999999999975</v>
      </c>
      <c r="N164" s="3">
        <v>7.2389999999999996E-2</v>
      </c>
      <c r="O164" s="133"/>
      <c r="Q164" s="3">
        <v>0.94399999999999995</v>
      </c>
    </row>
    <row r="165" spans="1:20" ht="15.6" x14ac:dyDescent="0.3">
      <c r="A165" s="1">
        <v>164</v>
      </c>
      <c r="B165" s="7">
        <v>14.5479436</v>
      </c>
      <c r="C165" s="13">
        <v>103.42139999999999</v>
      </c>
      <c r="D165" s="3">
        <v>2</v>
      </c>
      <c r="E165" s="82">
        <v>279.39999999999998</v>
      </c>
      <c r="F165" s="83">
        <v>152.39999999999998</v>
      </c>
      <c r="G165" s="83">
        <v>120.523</v>
      </c>
      <c r="H165" s="3">
        <v>117.34800000000001</v>
      </c>
      <c r="I165" s="3">
        <v>19.05</v>
      </c>
      <c r="J165" s="101">
        <f t="shared" si="10"/>
        <v>569.75692500000014</v>
      </c>
      <c r="K165">
        <f t="shared" si="11"/>
        <v>7.1494422310757031</v>
      </c>
      <c r="L165">
        <f t="shared" si="12"/>
        <v>1.3380681818181825E-2</v>
      </c>
      <c r="M165" s="3">
        <v>22.351999999999975</v>
      </c>
      <c r="N165" s="3">
        <v>9.5249999999999987E-2</v>
      </c>
      <c r="O165" s="133"/>
      <c r="Q165" s="3">
        <v>0.94399999999999995</v>
      </c>
    </row>
    <row r="166" spans="1:20" x14ac:dyDescent="0.3">
      <c r="A166" s="1">
        <v>165</v>
      </c>
      <c r="B166" s="13">
        <v>45.712258800000001</v>
      </c>
      <c r="C166" s="13">
        <v>103.42139999999999</v>
      </c>
      <c r="D166" s="3">
        <v>2</v>
      </c>
      <c r="E166" s="82">
        <v>152.39999999999998</v>
      </c>
      <c r="F166" s="83">
        <v>381</v>
      </c>
      <c r="G166" s="83">
        <v>320.59899999999999</v>
      </c>
      <c r="H166" s="3">
        <v>26.923999999999978</v>
      </c>
      <c r="I166" s="3">
        <v>22.25</v>
      </c>
      <c r="J166" s="101">
        <f t="shared" si="10"/>
        <v>777.24812500000007</v>
      </c>
      <c r="K166">
        <f t="shared" si="11"/>
        <v>5.1472533567325041</v>
      </c>
      <c r="L166">
        <f t="shared" si="12"/>
        <v>1.3385966702488964E-2</v>
      </c>
      <c r="M166" s="3">
        <v>49.27600000000001</v>
      </c>
      <c r="N166" s="3">
        <v>5.2069999999999998E-2</v>
      </c>
      <c r="O166" s="133"/>
      <c r="Q166" s="3">
        <v>0.94799999999999995</v>
      </c>
    </row>
    <row r="167" spans="1:20" x14ac:dyDescent="0.3">
      <c r="A167" s="1">
        <v>166</v>
      </c>
      <c r="B167" s="13">
        <v>4.5850153999999996</v>
      </c>
      <c r="C167" s="13">
        <v>103.42139999999999</v>
      </c>
      <c r="D167" s="3">
        <v>2</v>
      </c>
      <c r="E167" s="82">
        <v>152.39999999999998</v>
      </c>
      <c r="F167" s="83">
        <v>381</v>
      </c>
      <c r="G167" s="83">
        <v>320.59899999999999</v>
      </c>
      <c r="H167" s="3">
        <v>26.923999999999978</v>
      </c>
      <c r="I167" s="3">
        <v>22.25</v>
      </c>
      <c r="J167" s="101">
        <f t="shared" si="10"/>
        <v>777.24812500000007</v>
      </c>
      <c r="K167">
        <f t="shared" si="11"/>
        <v>5.1472533567325041</v>
      </c>
      <c r="L167">
        <f t="shared" si="12"/>
        <v>1.3385966702488964E-2</v>
      </c>
      <c r="M167" s="3">
        <v>49.27600000000001</v>
      </c>
      <c r="N167" s="3">
        <v>6.3500000000000001E-2</v>
      </c>
      <c r="O167" s="133"/>
      <c r="Q167" s="3">
        <v>0.94799999999999995</v>
      </c>
    </row>
    <row r="168" spans="1:20" ht="15.6" x14ac:dyDescent="0.3">
      <c r="A168" s="1">
        <v>167</v>
      </c>
      <c r="B168" s="7">
        <v>17.374795200000001</v>
      </c>
      <c r="C168" s="13">
        <v>103.42139999999999</v>
      </c>
      <c r="D168" s="3">
        <v>2</v>
      </c>
      <c r="E168" s="82">
        <v>152.39999999999998</v>
      </c>
      <c r="F168" s="83">
        <v>381</v>
      </c>
      <c r="G168" s="83">
        <v>320.59899999999999</v>
      </c>
      <c r="H168" s="3">
        <v>26.923999999999978</v>
      </c>
      <c r="I168" s="3">
        <v>22.25</v>
      </c>
      <c r="J168" s="101">
        <f t="shared" si="10"/>
        <v>777.24812500000007</v>
      </c>
      <c r="K168">
        <f t="shared" si="11"/>
        <v>5.1472533567325041</v>
      </c>
      <c r="L168">
        <f t="shared" si="12"/>
        <v>1.3385966702488964E-2</v>
      </c>
      <c r="M168" s="3">
        <v>49.27600000000001</v>
      </c>
      <c r="N168" s="3">
        <v>8.204199999999999E-2</v>
      </c>
      <c r="O168" s="133"/>
      <c r="Q168" s="3">
        <v>0.94799999999999995</v>
      </c>
    </row>
    <row r="169" spans="1:20" ht="15.6" x14ac:dyDescent="0.3">
      <c r="A169" s="1">
        <v>168</v>
      </c>
      <c r="B169" s="7">
        <v>14.685838799999999</v>
      </c>
      <c r="C169" s="13">
        <v>103.42139999999999</v>
      </c>
      <c r="D169" s="3">
        <v>2</v>
      </c>
      <c r="E169" s="82">
        <v>152.39999999999998</v>
      </c>
      <c r="F169" s="83">
        <v>381</v>
      </c>
      <c r="G169" s="83">
        <v>320.59899999999999</v>
      </c>
      <c r="H169" s="3">
        <v>26.923999999999978</v>
      </c>
      <c r="I169" s="3">
        <v>22.25</v>
      </c>
      <c r="J169" s="101">
        <f t="shared" si="10"/>
        <v>777.24812500000007</v>
      </c>
      <c r="K169">
        <f t="shared" si="11"/>
        <v>5.1472533567325041</v>
      </c>
      <c r="L169">
        <f t="shared" si="12"/>
        <v>1.3385966702488964E-2</v>
      </c>
      <c r="M169" s="3">
        <v>49.27600000000001</v>
      </c>
      <c r="N169" s="3">
        <v>8.5089999999999999E-2</v>
      </c>
      <c r="O169" s="133"/>
      <c r="Q169" s="3">
        <v>0.94799999999999995</v>
      </c>
    </row>
    <row r="170" spans="1:20" ht="15.6" x14ac:dyDescent="0.3">
      <c r="A170" s="1">
        <v>169</v>
      </c>
      <c r="B170" s="7">
        <v>40.8859268</v>
      </c>
      <c r="C170" s="13">
        <v>103.42139999999999</v>
      </c>
      <c r="D170" s="3">
        <v>1</v>
      </c>
      <c r="E170" s="82">
        <v>152.39999999999998</v>
      </c>
      <c r="F170" s="83">
        <v>381</v>
      </c>
      <c r="G170" s="83">
        <v>317.5</v>
      </c>
      <c r="H170" s="3">
        <v>50.799999999999955</v>
      </c>
      <c r="I170" s="3">
        <v>25.4</v>
      </c>
      <c r="J170" s="101">
        <f t="shared" si="10"/>
        <v>506.45059999999995</v>
      </c>
      <c r="K170">
        <f t="shared" si="11"/>
        <v>3.1902399999999997</v>
      </c>
      <c r="L170">
        <f t="shared" si="12"/>
        <v>8.7222222222222215E-3</v>
      </c>
      <c r="M170" s="3">
        <v>50.800000000000011</v>
      </c>
      <c r="N170" s="3">
        <v>6.9087999999999997E-2</v>
      </c>
      <c r="O170" s="133"/>
      <c r="Q170" s="3">
        <v>1</v>
      </c>
    </row>
    <row r="171" spans="1:20" ht="15.6" x14ac:dyDescent="0.3">
      <c r="A171" s="1">
        <v>170</v>
      </c>
      <c r="B171" s="7">
        <v>15.7545266</v>
      </c>
      <c r="C171" s="13">
        <v>103.42139999999999</v>
      </c>
      <c r="D171" s="3">
        <v>1</v>
      </c>
      <c r="E171" s="82">
        <v>152.39999999999998</v>
      </c>
      <c r="F171" s="83">
        <v>381</v>
      </c>
      <c r="G171" s="83">
        <v>317.5</v>
      </c>
      <c r="H171" s="3">
        <v>50.799999999999955</v>
      </c>
      <c r="I171" s="3">
        <v>25.4</v>
      </c>
      <c r="J171" s="101">
        <f t="shared" si="10"/>
        <v>506.45059999999995</v>
      </c>
      <c r="K171">
        <f t="shared" si="11"/>
        <v>3.1902399999999997</v>
      </c>
      <c r="L171">
        <f t="shared" si="12"/>
        <v>8.7222222222222215E-3</v>
      </c>
      <c r="M171" s="3">
        <v>50.800000000000011</v>
      </c>
      <c r="N171" s="3">
        <v>5.7911999999999991E-2</v>
      </c>
      <c r="O171" s="133"/>
      <c r="Q171" s="3">
        <v>1</v>
      </c>
    </row>
    <row r="172" spans="1:20" ht="15.6" x14ac:dyDescent="0.3">
      <c r="A172" s="1">
        <v>171</v>
      </c>
      <c r="B172" s="7">
        <v>16.547423999999999</v>
      </c>
      <c r="C172" s="13">
        <v>103.42139999999999</v>
      </c>
      <c r="D172" s="3">
        <v>1</v>
      </c>
      <c r="E172" s="82">
        <v>152.39999999999998</v>
      </c>
      <c r="F172" s="83">
        <v>584.19999999999993</v>
      </c>
      <c r="G172" s="83">
        <v>513.96799999999996</v>
      </c>
      <c r="H172" s="3">
        <v>44.196000000000026</v>
      </c>
      <c r="I172" s="3">
        <v>32.26</v>
      </c>
      <c r="J172" s="101">
        <f t="shared" si="10"/>
        <v>816.95546599999989</v>
      </c>
      <c r="K172">
        <f t="shared" si="11"/>
        <v>4.6528959220867989</v>
      </c>
      <c r="L172">
        <f t="shared" si="12"/>
        <v>9.1759674265725361E-3</v>
      </c>
      <c r="M172" s="3">
        <v>54.101999999999975</v>
      </c>
      <c r="N172" s="3">
        <v>7.2644E-2</v>
      </c>
      <c r="O172" s="133"/>
      <c r="Q172" s="3">
        <v>0.96899999999999997</v>
      </c>
    </row>
    <row r="173" spans="1:20" ht="15.6" x14ac:dyDescent="0.3">
      <c r="A173" s="1">
        <v>172</v>
      </c>
      <c r="B173" s="7">
        <v>44.540149599999999</v>
      </c>
      <c r="C173" s="13">
        <v>103.42139999999999</v>
      </c>
      <c r="D173" s="3">
        <v>2</v>
      </c>
      <c r="E173" s="82">
        <v>152.39999999999998</v>
      </c>
      <c r="F173" s="83">
        <v>584.19999999999993</v>
      </c>
      <c r="G173" s="83">
        <v>517.55099999999993</v>
      </c>
      <c r="H173" s="3">
        <v>23.876000000000033</v>
      </c>
      <c r="I173" s="3">
        <v>28.65</v>
      </c>
      <c r="J173" s="101">
        <f t="shared" si="10"/>
        <v>1288.691325</v>
      </c>
      <c r="K173">
        <f t="shared" si="11"/>
        <v>7.7341975123407698</v>
      </c>
      <c r="L173">
        <f t="shared" si="12"/>
        <v>1.4474460497834043E-2</v>
      </c>
      <c r="M173" s="3">
        <v>52.323999999999955</v>
      </c>
      <c r="N173" s="3">
        <v>7.1627999999999997E-2</v>
      </c>
      <c r="O173" s="133"/>
      <c r="Q173" s="3">
        <v>0.78600000000000003</v>
      </c>
    </row>
    <row r="174" spans="1:20" x14ac:dyDescent="0.3">
      <c r="A174" s="1">
        <v>173</v>
      </c>
      <c r="B174" s="13">
        <v>16.892161999999999</v>
      </c>
      <c r="C174" s="13">
        <v>103.42139999999999</v>
      </c>
      <c r="D174" s="3">
        <v>2</v>
      </c>
      <c r="E174" s="82">
        <v>152.39999999999998</v>
      </c>
      <c r="F174" s="83">
        <v>584.19999999999993</v>
      </c>
      <c r="G174" s="83">
        <v>517.55099999999993</v>
      </c>
      <c r="H174" s="3">
        <v>23.876000000000033</v>
      </c>
      <c r="I174" s="3">
        <v>28.65</v>
      </c>
      <c r="J174" s="101">
        <f t="shared" si="10"/>
        <v>1288.691325</v>
      </c>
      <c r="K174">
        <f t="shared" si="11"/>
        <v>7.7341975123407698</v>
      </c>
      <c r="L174">
        <f t="shared" si="12"/>
        <v>1.4474460497834043E-2</v>
      </c>
      <c r="M174" s="3">
        <v>52.323999999999955</v>
      </c>
      <c r="N174" s="3">
        <v>8.1026000000000001E-2</v>
      </c>
      <c r="O174" s="133"/>
      <c r="Q174" s="3">
        <v>0.78600000000000003</v>
      </c>
    </row>
    <row r="175" spans="1:20" x14ac:dyDescent="0.3">
      <c r="A175" s="1">
        <v>174</v>
      </c>
      <c r="B175" s="13">
        <v>40.265398399999995</v>
      </c>
      <c r="C175" s="13">
        <v>137.89519999999999</v>
      </c>
      <c r="D175" s="3">
        <v>2</v>
      </c>
      <c r="E175" s="84">
        <v>190.5</v>
      </c>
      <c r="F175" s="85">
        <v>152.39999999999998</v>
      </c>
      <c r="G175" s="85">
        <v>127</v>
      </c>
      <c r="H175" s="3">
        <v>76.200000000000017</v>
      </c>
      <c r="I175" s="3">
        <v>12.7</v>
      </c>
      <c r="J175" s="101">
        <f t="shared" si="10"/>
        <v>253.22529999999998</v>
      </c>
      <c r="K175">
        <f t="shared" si="11"/>
        <v>3.9878000000000031</v>
      </c>
      <c r="L175">
        <f t="shared" si="12"/>
        <v>8.7222222222222215E-3</v>
      </c>
      <c r="M175" s="3">
        <v>19.049999999999983</v>
      </c>
      <c r="N175" s="3">
        <v>4.8513999999999995E-2</v>
      </c>
      <c r="O175" s="133"/>
      <c r="Q175" s="3">
        <v>1</v>
      </c>
    </row>
    <row r="176" spans="1:20" x14ac:dyDescent="0.3">
      <c r="A176" s="1">
        <v>175</v>
      </c>
      <c r="B176" s="13">
        <v>16.271633600000001</v>
      </c>
      <c r="C176" s="13">
        <v>137.89519999999999</v>
      </c>
      <c r="D176" s="3">
        <v>2</v>
      </c>
      <c r="E176" s="84">
        <v>190.5</v>
      </c>
      <c r="F176" s="85">
        <v>152.39999999999998</v>
      </c>
      <c r="G176" s="85">
        <v>127</v>
      </c>
      <c r="H176" s="3">
        <v>76.200000000000017</v>
      </c>
      <c r="I176" s="3">
        <v>12.7</v>
      </c>
      <c r="J176" s="101">
        <f t="shared" si="10"/>
        <v>253.22529999999998</v>
      </c>
      <c r="K176">
        <f t="shared" si="11"/>
        <v>3.9878000000000031</v>
      </c>
      <c r="L176">
        <f t="shared" si="12"/>
        <v>8.7222222222222215E-3</v>
      </c>
      <c r="M176" s="3">
        <v>19.049999999999983</v>
      </c>
      <c r="N176" s="3">
        <v>6.2738000000000002E-2</v>
      </c>
      <c r="O176" s="133"/>
      <c r="Q176" s="3">
        <v>1</v>
      </c>
    </row>
    <row r="177" spans="1:17" x14ac:dyDescent="0.3">
      <c r="A177" s="1">
        <v>176</v>
      </c>
      <c r="B177" s="13">
        <v>42.126983599999996</v>
      </c>
      <c r="C177" s="13">
        <v>137.89519999999999</v>
      </c>
      <c r="D177" s="3">
        <v>2</v>
      </c>
      <c r="E177" s="84">
        <v>279.39999999999998</v>
      </c>
      <c r="F177" s="85">
        <v>152.39999999999998</v>
      </c>
      <c r="G177" s="85">
        <v>120.523</v>
      </c>
      <c r="H177" s="3">
        <v>117.34800000000001</v>
      </c>
      <c r="I177" s="3">
        <v>19.05</v>
      </c>
      <c r="J177" s="101">
        <f t="shared" si="10"/>
        <v>569.75692500000014</v>
      </c>
      <c r="K177">
        <f t="shared" si="11"/>
        <v>7.1494422310757031</v>
      </c>
      <c r="L177">
        <f t="shared" si="12"/>
        <v>1.3380681818181825E-2</v>
      </c>
      <c r="M177" s="3">
        <v>22.351999999999975</v>
      </c>
      <c r="N177" s="3">
        <v>0.11912599999999998</v>
      </c>
      <c r="O177" s="133"/>
      <c r="Q177" s="3">
        <v>0.94399999999999995</v>
      </c>
    </row>
    <row r="178" spans="1:17" x14ac:dyDescent="0.3">
      <c r="A178" s="1">
        <v>177</v>
      </c>
      <c r="B178" s="13">
        <v>14.5479436</v>
      </c>
      <c r="C178" s="13">
        <v>137.89519999999999</v>
      </c>
      <c r="D178" s="3">
        <v>2</v>
      </c>
      <c r="E178" s="84">
        <v>279.39999999999998</v>
      </c>
      <c r="F178" s="85">
        <v>152.39999999999998</v>
      </c>
      <c r="G178" s="85">
        <v>120.523</v>
      </c>
      <c r="H178" s="3">
        <v>117.34800000000001</v>
      </c>
      <c r="I178" s="3">
        <v>19.05</v>
      </c>
      <c r="J178" s="101">
        <f t="shared" si="10"/>
        <v>569.75692500000014</v>
      </c>
      <c r="K178">
        <f t="shared" si="11"/>
        <v>7.1494422310757031</v>
      </c>
      <c r="L178">
        <f t="shared" si="12"/>
        <v>1.3380681818181825E-2</v>
      </c>
      <c r="M178" s="3">
        <v>22.351999999999975</v>
      </c>
      <c r="N178" s="3">
        <v>0.13588999999999998</v>
      </c>
      <c r="O178" s="133"/>
      <c r="Q178" s="3">
        <v>0.94399999999999995</v>
      </c>
    </row>
    <row r="179" spans="1:17" x14ac:dyDescent="0.3">
      <c r="A179" s="1">
        <v>178</v>
      </c>
      <c r="B179" s="13">
        <v>4.5850153999999996</v>
      </c>
      <c r="C179" s="13">
        <v>137.89519999999999</v>
      </c>
      <c r="D179" s="3">
        <v>2</v>
      </c>
      <c r="E179" s="84">
        <v>152.39999999999998</v>
      </c>
      <c r="F179" s="85">
        <v>381</v>
      </c>
      <c r="G179" s="85">
        <v>320.61399999999998</v>
      </c>
      <c r="H179" s="3">
        <v>26.923999999999978</v>
      </c>
      <c r="I179" s="3">
        <v>22.22</v>
      </c>
      <c r="J179" s="101">
        <f t="shared" si="10"/>
        <v>775.1535879999999</v>
      </c>
      <c r="K179">
        <f t="shared" si="11"/>
        <v>5.1346576226277589</v>
      </c>
      <c r="L179">
        <f t="shared" si="12"/>
        <v>1.3349894048676985E-2</v>
      </c>
      <c r="M179" s="3">
        <v>49.27600000000001</v>
      </c>
      <c r="N179" s="3">
        <v>0.11683999999999999</v>
      </c>
      <c r="O179" s="133"/>
      <c r="Q179" s="3">
        <v>0.94799999999999995</v>
      </c>
    </row>
    <row r="180" spans="1:17" x14ac:dyDescent="0.3">
      <c r="A180" s="1">
        <v>179</v>
      </c>
      <c r="B180" s="13">
        <v>17.374795200000001</v>
      </c>
      <c r="C180" s="13">
        <v>137.89519999999999</v>
      </c>
      <c r="D180" s="3">
        <v>2</v>
      </c>
      <c r="E180" s="84">
        <v>152.39999999999998</v>
      </c>
      <c r="F180" s="85">
        <v>381</v>
      </c>
      <c r="G180" s="85">
        <v>320.61399999999998</v>
      </c>
      <c r="H180" s="3">
        <v>26.923999999999978</v>
      </c>
      <c r="I180" s="3">
        <v>22.22</v>
      </c>
      <c r="J180" s="101">
        <f t="shared" si="10"/>
        <v>775.1535879999999</v>
      </c>
      <c r="K180">
        <f t="shared" si="11"/>
        <v>5.1346576226277589</v>
      </c>
      <c r="L180">
        <f t="shared" si="12"/>
        <v>1.3349894048676985E-2</v>
      </c>
      <c r="M180" s="3">
        <v>49.27600000000001</v>
      </c>
      <c r="N180" s="3">
        <v>0.11582399999999998</v>
      </c>
      <c r="O180" s="133"/>
      <c r="Q180" s="3">
        <v>0.94799999999999995</v>
      </c>
    </row>
    <row r="181" spans="1:17" x14ac:dyDescent="0.3">
      <c r="A181" s="1">
        <v>180</v>
      </c>
      <c r="B181" s="13">
        <v>14.685838799999999</v>
      </c>
      <c r="C181" s="13">
        <v>137.89519999999999</v>
      </c>
      <c r="D181" s="3">
        <v>2</v>
      </c>
      <c r="E181" s="84">
        <v>152.39999999999998</v>
      </c>
      <c r="F181" s="85">
        <v>381</v>
      </c>
      <c r="G181" s="85">
        <v>320.61399999999998</v>
      </c>
      <c r="H181" s="3">
        <v>26.923999999999978</v>
      </c>
      <c r="I181" s="3">
        <v>22.22</v>
      </c>
      <c r="J181" s="101">
        <f t="shared" si="10"/>
        <v>775.1535879999999</v>
      </c>
      <c r="K181">
        <f t="shared" si="11"/>
        <v>5.1346576226277589</v>
      </c>
      <c r="L181">
        <f t="shared" si="12"/>
        <v>1.3349894048676985E-2</v>
      </c>
      <c r="M181" s="3">
        <v>49.27600000000001</v>
      </c>
      <c r="N181" s="3">
        <v>0.13258799999999998</v>
      </c>
      <c r="O181" s="133"/>
      <c r="Q181" s="3">
        <v>0.94799999999999995</v>
      </c>
    </row>
    <row r="182" spans="1:17" x14ac:dyDescent="0.3">
      <c r="A182" s="1">
        <v>181</v>
      </c>
      <c r="B182" s="13">
        <v>42.058036000000001</v>
      </c>
      <c r="C182" s="13">
        <v>137.89519999999999</v>
      </c>
      <c r="D182" s="3">
        <v>1</v>
      </c>
      <c r="E182" s="84">
        <v>152.39999999999998</v>
      </c>
      <c r="F182" s="85">
        <v>381</v>
      </c>
      <c r="G182" s="85">
        <v>317.5</v>
      </c>
      <c r="H182" s="3">
        <v>50.799999999999955</v>
      </c>
      <c r="I182" s="3">
        <v>25.4</v>
      </c>
      <c r="J182" s="101">
        <f t="shared" si="10"/>
        <v>506.45059999999995</v>
      </c>
      <c r="K182">
        <f t="shared" si="11"/>
        <v>3.1902399999999997</v>
      </c>
      <c r="L182">
        <f t="shared" si="12"/>
        <v>8.7222222222222215E-3</v>
      </c>
      <c r="M182" s="3">
        <v>50.800000000000011</v>
      </c>
      <c r="N182" s="3">
        <v>8.6359999999999992E-2</v>
      </c>
      <c r="O182" s="133"/>
      <c r="Q182" s="3">
        <v>1</v>
      </c>
    </row>
    <row r="183" spans="1:17" x14ac:dyDescent="0.3">
      <c r="A183" s="1">
        <v>182</v>
      </c>
      <c r="B183" s="13">
        <v>40.8859268</v>
      </c>
      <c r="C183" s="13">
        <v>137.89519999999999</v>
      </c>
      <c r="D183" s="3">
        <v>1</v>
      </c>
      <c r="E183" s="84">
        <v>152.39999999999998</v>
      </c>
      <c r="F183" s="85">
        <v>381</v>
      </c>
      <c r="G183" s="85">
        <v>317.5</v>
      </c>
      <c r="H183" s="3">
        <v>50.799999999999955</v>
      </c>
      <c r="I183" s="3">
        <v>25.4</v>
      </c>
      <c r="J183" s="101">
        <f t="shared" si="10"/>
        <v>506.45059999999995</v>
      </c>
      <c r="K183">
        <f t="shared" si="11"/>
        <v>3.1902399999999997</v>
      </c>
      <c r="L183">
        <f t="shared" si="12"/>
        <v>8.7222222222222215E-3</v>
      </c>
      <c r="M183" s="3">
        <v>50.800000000000011</v>
      </c>
      <c r="N183" s="3">
        <v>0.12623799999999999</v>
      </c>
      <c r="O183" s="133"/>
      <c r="Q183" s="3">
        <v>1</v>
      </c>
    </row>
    <row r="184" spans="1:17" x14ac:dyDescent="0.3">
      <c r="A184" s="1">
        <v>183</v>
      </c>
      <c r="B184" s="13">
        <v>15.7545266</v>
      </c>
      <c r="C184" s="13">
        <v>137.89519999999999</v>
      </c>
      <c r="D184" s="3">
        <v>1</v>
      </c>
      <c r="E184" s="84">
        <v>152.39999999999998</v>
      </c>
      <c r="F184" s="85">
        <v>381</v>
      </c>
      <c r="G184" s="85">
        <v>317.5</v>
      </c>
      <c r="H184" s="3">
        <v>50.799999999999955</v>
      </c>
      <c r="I184" s="3">
        <v>25.4</v>
      </c>
      <c r="J184" s="101">
        <f t="shared" si="10"/>
        <v>506.45059999999995</v>
      </c>
      <c r="K184">
        <f t="shared" si="11"/>
        <v>3.1902399999999997</v>
      </c>
      <c r="L184">
        <f t="shared" si="12"/>
        <v>8.7222222222222215E-3</v>
      </c>
      <c r="M184" s="3">
        <v>50.800000000000011</v>
      </c>
      <c r="N184" s="3">
        <v>0.10566399999999998</v>
      </c>
      <c r="O184" s="133"/>
      <c r="Q184" s="3">
        <v>1</v>
      </c>
    </row>
    <row r="185" spans="1:17" x14ac:dyDescent="0.3">
      <c r="A185" s="1">
        <v>184</v>
      </c>
      <c r="B185" s="13">
        <v>43.643830799999996</v>
      </c>
      <c r="C185" s="13">
        <v>137.89519999999999</v>
      </c>
      <c r="D185" s="3">
        <v>1</v>
      </c>
      <c r="E185" s="84">
        <v>152.39999999999998</v>
      </c>
      <c r="F185" s="85">
        <v>584.19999999999993</v>
      </c>
      <c r="G185" s="85">
        <v>513.96799999999996</v>
      </c>
      <c r="H185" s="3">
        <v>44.196000000000026</v>
      </c>
      <c r="I185" s="3">
        <v>32.26</v>
      </c>
      <c r="J185" s="101">
        <f t="shared" si="10"/>
        <v>816.95546599999989</v>
      </c>
      <c r="K185">
        <f t="shared" si="11"/>
        <v>4.6528959220867989</v>
      </c>
      <c r="L185">
        <f t="shared" si="12"/>
        <v>9.1759674265725361E-3</v>
      </c>
      <c r="M185" s="3">
        <v>54.101999999999975</v>
      </c>
      <c r="N185" s="3">
        <v>0.15493999999999999</v>
      </c>
      <c r="O185" s="133"/>
      <c r="Q185" s="3">
        <v>0.96899999999999997</v>
      </c>
    </row>
    <row r="186" spans="1:17" x14ac:dyDescent="0.3">
      <c r="A186" s="1">
        <v>185</v>
      </c>
      <c r="B186" s="13">
        <v>16.547423999999999</v>
      </c>
      <c r="C186" s="13">
        <v>137.89519999999999</v>
      </c>
      <c r="D186" s="3">
        <v>1</v>
      </c>
      <c r="E186" s="84">
        <v>152.39999999999998</v>
      </c>
      <c r="F186" s="85">
        <v>584.19999999999993</v>
      </c>
      <c r="G186" s="85">
        <v>513.96799999999996</v>
      </c>
      <c r="H186" s="3">
        <v>44.196000000000026</v>
      </c>
      <c r="I186" s="3">
        <v>32.26</v>
      </c>
      <c r="J186" s="101">
        <f t="shared" si="10"/>
        <v>816.95546599999989</v>
      </c>
      <c r="K186">
        <f t="shared" si="11"/>
        <v>4.6528959220867989</v>
      </c>
      <c r="L186">
        <f t="shared" si="12"/>
        <v>9.1759674265725361E-3</v>
      </c>
      <c r="M186" s="3">
        <v>54.101999999999975</v>
      </c>
      <c r="N186" s="3">
        <v>0.13969999999999999</v>
      </c>
      <c r="O186" s="133"/>
      <c r="Q186" s="3">
        <v>0.96899999999999997</v>
      </c>
    </row>
    <row r="187" spans="1:17" x14ac:dyDescent="0.3">
      <c r="A187" s="1">
        <v>186</v>
      </c>
      <c r="B187" s="13">
        <v>44.540149599999999</v>
      </c>
      <c r="C187" s="13">
        <v>137.89519999999999</v>
      </c>
      <c r="D187" s="3">
        <v>2</v>
      </c>
      <c r="E187" s="84">
        <v>152.39999999999998</v>
      </c>
      <c r="F187" s="85">
        <v>584.19999999999993</v>
      </c>
      <c r="G187" s="85">
        <v>517.55099999999993</v>
      </c>
      <c r="H187" s="3">
        <v>23.876000000000033</v>
      </c>
      <c r="I187" s="3">
        <v>28.65</v>
      </c>
      <c r="J187" s="101">
        <f t="shared" si="10"/>
        <v>1288.691325</v>
      </c>
      <c r="K187">
        <f t="shared" si="11"/>
        <v>7.7341975123407698</v>
      </c>
      <c r="L187">
        <f t="shared" si="12"/>
        <v>1.4474460497834043E-2</v>
      </c>
      <c r="M187" s="3">
        <v>52.323999999999955</v>
      </c>
      <c r="N187" s="3">
        <v>0.11912599999999998</v>
      </c>
      <c r="O187" s="133"/>
      <c r="Q187" s="3">
        <v>0.78600000000000003</v>
      </c>
    </row>
    <row r="188" spans="1:17" x14ac:dyDescent="0.3">
      <c r="A188" s="1">
        <v>187</v>
      </c>
      <c r="B188" s="13">
        <v>16.892161999999999</v>
      </c>
      <c r="C188" s="13">
        <v>137.89519999999999</v>
      </c>
      <c r="D188" s="3">
        <v>2</v>
      </c>
      <c r="E188" s="84">
        <v>152.39999999999998</v>
      </c>
      <c r="F188" s="85">
        <v>584.19999999999993</v>
      </c>
      <c r="G188" s="85">
        <v>517.55099999999993</v>
      </c>
      <c r="H188" s="3">
        <v>23.876000000000033</v>
      </c>
      <c r="I188" s="3">
        <v>28.65</v>
      </c>
      <c r="J188" s="101">
        <f t="shared" si="10"/>
        <v>1288.691325</v>
      </c>
      <c r="K188">
        <f t="shared" si="11"/>
        <v>7.7341975123407698</v>
      </c>
      <c r="L188">
        <f t="shared" si="12"/>
        <v>1.4474460497834043E-2</v>
      </c>
      <c r="M188" s="3">
        <v>52.323999999999955</v>
      </c>
      <c r="N188" s="3">
        <v>0.12750800000000001</v>
      </c>
      <c r="O188" s="133"/>
      <c r="Q188" s="3">
        <v>0.78600000000000003</v>
      </c>
    </row>
    <row r="189" spans="1:17" x14ac:dyDescent="0.3">
      <c r="A189" s="1">
        <v>188</v>
      </c>
      <c r="B189" s="13">
        <v>40.265398399999995</v>
      </c>
      <c r="C189" s="13">
        <v>172.369</v>
      </c>
      <c r="D189" s="3">
        <v>2</v>
      </c>
      <c r="E189" s="86">
        <v>190.5</v>
      </c>
      <c r="F189" s="87">
        <v>152.39999999999998</v>
      </c>
      <c r="G189" s="87">
        <v>127</v>
      </c>
      <c r="H189" s="3">
        <v>76.200000000000017</v>
      </c>
      <c r="I189" s="3">
        <v>12.7</v>
      </c>
      <c r="J189" s="101">
        <f t="shared" si="10"/>
        <v>253.22529999999998</v>
      </c>
      <c r="K189">
        <f t="shared" si="11"/>
        <v>3.9878000000000031</v>
      </c>
      <c r="L189">
        <f t="shared" si="12"/>
        <v>8.7222222222222215E-3</v>
      </c>
      <c r="M189" s="3">
        <v>19.049999999999983</v>
      </c>
      <c r="N189" s="3">
        <v>6.5023999999999998E-2</v>
      </c>
      <c r="O189" s="133"/>
      <c r="Q189" s="3">
        <v>1</v>
      </c>
    </row>
    <row r="190" spans="1:17" x14ac:dyDescent="0.3">
      <c r="A190" s="1">
        <v>189</v>
      </c>
      <c r="B190" s="13">
        <v>16.271633600000001</v>
      </c>
      <c r="C190" s="13">
        <v>172.369</v>
      </c>
      <c r="D190" s="3">
        <v>2</v>
      </c>
      <c r="E190" s="86">
        <v>190.5</v>
      </c>
      <c r="F190" s="87">
        <v>152.39999999999998</v>
      </c>
      <c r="G190" s="87">
        <v>127</v>
      </c>
      <c r="H190" s="3">
        <v>76.200000000000017</v>
      </c>
      <c r="I190" s="3">
        <v>12.7</v>
      </c>
      <c r="J190" s="101">
        <f t="shared" si="10"/>
        <v>253.22529999999998</v>
      </c>
      <c r="K190">
        <f t="shared" si="11"/>
        <v>3.9878000000000031</v>
      </c>
      <c r="L190">
        <f t="shared" si="12"/>
        <v>8.7222222222222215E-3</v>
      </c>
      <c r="M190" s="3">
        <v>19.049999999999983</v>
      </c>
      <c r="N190" s="3">
        <v>0.11683999999999999</v>
      </c>
      <c r="O190" s="133"/>
      <c r="Q190" s="3">
        <v>1</v>
      </c>
    </row>
    <row r="191" spans="1:17" x14ac:dyDescent="0.3">
      <c r="A191" s="1">
        <v>190</v>
      </c>
      <c r="B191" s="13">
        <v>42.126983599999996</v>
      </c>
      <c r="C191" s="13">
        <v>172.369</v>
      </c>
      <c r="D191" s="3">
        <v>2</v>
      </c>
      <c r="E191" s="86">
        <v>279.39999999999998</v>
      </c>
      <c r="F191" s="87">
        <v>152.39999999999998</v>
      </c>
      <c r="G191" s="87">
        <v>120.523</v>
      </c>
      <c r="H191" s="3">
        <v>117.34800000000001</v>
      </c>
      <c r="I191" s="3">
        <v>19.05</v>
      </c>
      <c r="J191" s="101">
        <f t="shared" si="10"/>
        <v>569.75692500000014</v>
      </c>
      <c r="K191">
        <f t="shared" si="11"/>
        <v>7.1494422310757031</v>
      </c>
      <c r="L191">
        <f t="shared" si="12"/>
        <v>1.3380681818181825E-2</v>
      </c>
      <c r="M191" s="3">
        <v>22.351999999999975</v>
      </c>
      <c r="N191" s="3">
        <v>0.16738600000000001</v>
      </c>
      <c r="O191" s="133"/>
      <c r="Q191" s="3">
        <v>0.94399999999999995</v>
      </c>
    </row>
    <row r="192" spans="1:17" x14ac:dyDescent="0.3">
      <c r="A192" s="1">
        <v>191</v>
      </c>
      <c r="B192" s="13">
        <v>14.5479436</v>
      </c>
      <c r="C192" s="13">
        <v>172.369</v>
      </c>
      <c r="D192" s="3">
        <v>2</v>
      </c>
      <c r="E192" s="86">
        <v>279.39999999999998</v>
      </c>
      <c r="F192" s="87">
        <v>152.39999999999998</v>
      </c>
      <c r="G192" s="87">
        <v>120.523</v>
      </c>
      <c r="H192" s="3">
        <v>117.34800000000001</v>
      </c>
      <c r="I192" s="3">
        <v>19.05</v>
      </c>
      <c r="J192" s="101">
        <f t="shared" si="10"/>
        <v>569.75692500000014</v>
      </c>
      <c r="K192">
        <f t="shared" si="11"/>
        <v>7.1494422310757031</v>
      </c>
      <c r="L192">
        <f t="shared" si="12"/>
        <v>1.3380681818181825E-2</v>
      </c>
      <c r="M192" s="3">
        <v>22.351999999999975</v>
      </c>
      <c r="N192" s="3">
        <v>0.16992599999999999</v>
      </c>
      <c r="O192" s="133"/>
      <c r="Q192" s="3">
        <v>0.94399999999999995</v>
      </c>
    </row>
    <row r="193" spans="1:17" x14ac:dyDescent="0.3">
      <c r="A193" s="1">
        <v>192</v>
      </c>
      <c r="B193" s="13">
        <v>45.712258800000001</v>
      </c>
      <c r="C193" s="13">
        <v>172.369</v>
      </c>
      <c r="D193" s="3">
        <v>2</v>
      </c>
      <c r="E193" s="86">
        <v>152.39999999999998</v>
      </c>
      <c r="F193" s="87">
        <v>381</v>
      </c>
      <c r="G193" s="87">
        <v>320.61399999999998</v>
      </c>
      <c r="H193" s="3">
        <v>26.923999999999978</v>
      </c>
      <c r="I193" s="3">
        <v>22.22</v>
      </c>
      <c r="J193" s="101">
        <f t="shared" si="10"/>
        <v>775.1535879999999</v>
      </c>
      <c r="K193">
        <f t="shared" si="11"/>
        <v>5.1346576226277589</v>
      </c>
      <c r="L193">
        <f t="shared" si="12"/>
        <v>1.3349894048676985E-2</v>
      </c>
      <c r="M193" s="3">
        <v>49.27600000000001</v>
      </c>
      <c r="N193" s="3">
        <v>9.017E-2</v>
      </c>
      <c r="O193" s="133"/>
      <c r="Q193" s="3">
        <v>0.94799999999999995</v>
      </c>
    </row>
    <row r="194" spans="1:17" x14ac:dyDescent="0.3">
      <c r="A194" s="1">
        <v>193</v>
      </c>
      <c r="B194" s="13">
        <v>4.5850153999999996</v>
      </c>
      <c r="C194" s="13">
        <v>172.369</v>
      </c>
      <c r="D194" s="3">
        <v>2</v>
      </c>
      <c r="E194" s="86">
        <v>152.39999999999998</v>
      </c>
      <c r="F194" s="87">
        <v>381</v>
      </c>
      <c r="G194" s="87">
        <v>320.61399999999998</v>
      </c>
      <c r="H194" s="3">
        <v>26.923999999999978</v>
      </c>
      <c r="I194" s="3">
        <v>22.22</v>
      </c>
      <c r="J194" s="101">
        <f t="shared" si="10"/>
        <v>775.1535879999999</v>
      </c>
      <c r="K194">
        <f t="shared" si="11"/>
        <v>5.1346576226277589</v>
      </c>
      <c r="L194">
        <f t="shared" si="12"/>
        <v>1.3349894048676985E-2</v>
      </c>
      <c r="M194" s="3">
        <v>49.27600000000001</v>
      </c>
      <c r="N194" s="3">
        <v>0.126746</v>
      </c>
      <c r="O194" s="133"/>
      <c r="Q194" s="3">
        <v>0.94799999999999995</v>
      </c>
    </row>
    <row r="195" spans="1:17" x14ac:dyDescent="0.3">
      <c r="A195" s="1">
        <v>194</v>
      </c>
      <c r="B195" s="13">
        <v>17.374795200000001</v>
      </c>
      <c r="C195" s="13">
        <v>172.369</v>
      </c>
      <c r="D195" s="3">
        <v>2</v>
      </c>
      <c r="E195" s="86">
        <v>152.39999999999998</v>
      </c>
      <c r="F195" s="87">
        <v>381</v>
      </c>
      <c r="G195" s="87">
        <v>320.61399999999998</v>
      </c>
      <c r="H195" s="3">
        <v>26.923999999999978</v>
      </c>
      <c r="I195" s="3">
        <v>22.22</v>
      </c>
      <c r="J195" s="101">
        <f t="shared" ref="J195:J258" si="13">D195*(3.14/4)*I195*I195</f>
        <v>775.1535879999999</v>
      </c>
      <c r="K195">
        <f t="shared" ref="K195:K258" si="14">J195/(2.5*(F195-G195))</f>
        <v>5.1346576226277589</v>
      </c>
      <c r="L195">
        <f t="shared" ref="L195:L258" si="15">J195/(E195*F195)</f>
        <v>1.3349894048676985E-2</v>
      </c>
      <c r="M195" s="3">
        <v>49.27600000000001</v>
      </c>
      <c r="N195" s="3">
        <v>0.14782799999999999</v>
      </c>
      <c r="O195" s="133"/>
      <c r="Q195" s="3">
        <v>0.94799999999999995</v>
      </c>
    </row>
    <row r="196" spans="1:17" x14ac:dyDescent="0.3">
      <c r="A196" s="1">
        <v>195</v>
      </c>
      <c r="B196" s="13">
        <v>14.685838799999999</v>
      </c>
      <c r="C196" s="13">
        <v>172.369</v>
      </c>
      <c r="D196" s="3">
        <v>2</v>
      </c>
      <c r="E196" s="86">
        <v>152.39999999999998</v>
      </c>
      <c r="F196" s="87">
        <v>381</v>
      </c>
      <c r="G196" s="87">
        <v>320.61399999999998</v>
      </c>
      <c r="H196" s="3">
        <v>26.923999999999978</v>
      </c>
      <c r="I196" s="3">
        <v>22.22</v>
      </c>
      <c r="J196" s="101">
        <f t="shared" si="13"/>
        <v>775.1535879999999</v>
      </c>
      <c r="K196">
        <f t="shared" si="14"/>
        <v>5.1346576226277589</v>
      </c>
      <c r="L196">
        <f t="shared" si="15"/>
        <v>1.3349894048676985E-2</v>
      </c>
      <c r="M196" s="3">
        <v>49.27600000000001</v>
      </c>
      <c r="N196" s="3">
        <v>0.17932400000000001</v>
      </c>
      <c r="O196" s="133"/>
      <c r="Q196" s="3">
        <v>0.94799999999999995</v>
      </c>
    </row>
    <row r="197" spans="1:17" x14ac:dyDescent="0.3">
      <c r="A197" s="1">
        <v>196</v>
      </c>
      <c r="B197" s="13">
        <v>42.058036000000001</v>
      </c>
      <c r="C197" s="13">
        <v>172.369</v>
      </c>
      <c r="D197" s="3">
        <v>1</v>
      </c>
      <c r="E197" s="86">
        <v>152.39999999999998</v>
      </c>
      <c r="F197" s="87">
        <v>381</v>
      </c>
      <c r="G197" s="87">
        <v>317.5</v>
      </c>
      <c r="H197" s="3">
        <v>50.799999999999955</v>
      </c>
      <c r="I197" s="3">
        <v>25.4</v>
      </c>
      <c r="J197" s="101">
        <f t="shared" si="13"/>
        <v>506.45059999999995</v>
      </c>
      <c r="K197">
        <f t="shared" si="14"/>
        <v>3.1902399999999997</v>
      </c>
      <c r="L197">
        <f t="shared" si="15"/>
        <v>8.7222222222222215E-3</v>
      </c>
      <c r="M197" s="3">
        <v>50.800000000000011</v>
      </c>
      <c r="N197" s="3">
        <v>0.13741399999999998</v>
      </c>
      <c r="O197" s="133"/>
      <c r="Q197" s="3">
        <v>1</v>
      </c>
    </row>
    <row r="198" spans="1:17" x14ac:dyDescent="0.3">
      <c r="A198" s="1">
        <v>197</v>
      </c>
      <c r="B198" s="14">
        <v>40.8859268</v>
      </c>
      <c r="C198" s="14">
        <v>172.369</v>
      </c>
      <c r="D198" s="3">
        <v>1</v>
      </c>
      <c r="E198" s="86">
        <v>152.39999999999998</v>
      </c>
      <c r="F198" s="87">
        <v>381</v>
      </c>
      <c r="G198" s="87">
        <v>317.5</v>
      </c>
      <c r="H198" s="3">
        <v>50.799999999999955</v>
      </c>
      <c r="I198" s="3">
        <v>25.4</v>
      </c>
      <c r="J198" s="101">
        <f t="shared" si="13"/>
        <v>506.45059999999995</v>
      </c>
      <c r="K198">
        <f t="shared" si="14"/>
        <v>3.1902399999999997</v>
      </c>
      <c r="L198">
        <f t="shared" si="15"/>
        <v>8.7222222222222215E-3</v>
      </c>
      <c r="M198" s="3">
        <v>50.800000000000011</v>
      </c>
      <c r="N198" s="3">
        <v>0.186944</v>
      </c>
      <c r="O198" s="133"/>
      <c r="Q198" s="3">
        <v>1</v>
      </c>
    </row>
    <row r="199" spans="1:17" x14ac:dyDescent="0.3">
      <c r="A199" s="1">
        <v>198</v>
      </c>
      <c r="B199" s="13">
        <v>21.097965599999998</v>
      </c>
      <c r="C199" s="13">
        <v>172.369</v>
      </c>
      <c r="D199" s="3">
        <v>1</v>
      </c>
      <c r="E199" s="86">
        <v>152.39999999999998</v>
      </c>
      <c r="F199" s="87">
        <v>381</v>
      </c>
      <c r="G199" s="87">
        <v>317.5</v>
      </c>
      <c r="H199" s="3">
        <v>50.799999999999955</v>
      </c>
      <c r="I199" s="3">
        <v>25.4</v>
      </c>
      <c r="J199" s="101">
        <f t="shared" si="13"/>
        <v>506.45059999999995</v>
      </c>
      <c r="K199">
        <f t="shared" si="14"/>
        <v>3.1902399999999997</v>
      </c>
      <c r="L199">
        <f t="shared" si="15"/>
        <v>8.7222222222222215E-3</v>
      </c>
      <c r="M199" s="3">
        <v>50.800000000000011</v>
      </c>
      <c r="N199" s="3">
        <v>0.10871199999999999</v>
      </c>
      <c r="O199" s="133"/>
      <c r="Q199" s="3">
        <v>1</v>
      </c>
    </row>
    <row r="200" spans="1:17" x14ac:dyDescent="0.3">
      <c r="A200" s="1">
        <v>199</v>
      </c>
      <c r="B200" s="13">
        <v>15.7545266</v>
      </c>
      <c r="C200" s="13">
        <v>172.369</v>
      </c>
      <c r="D200" s="3">
        <v>1</v>
      </c>
      <c r="E200" s="86">
        <v>152.39999999999998</v>
      </c>
      <c r="F200" s="87">
        <v>381</v>
      </c>
      <c r="G200" s="87">
        <v>317.5</v>
      </c>
      <c r="H200" s="3">
        <v>50.799999999999955</v>
      </c>
      <c r="I200" s="3">
        <v>25.4</v>
      </c>
      <c r="J200" s="101">
        <f t="shared" si="13"/>
        <v>506.45059999999995</v>
      </c>
      <c r="K200">
        <f t="shared" si="14"/>
        <v>3.1902399999999997</v>
      </c>
      <c r="L200">
        <f t="shared" si="15"/>
        <v>8.7222222222222215E-3</v>
      </c>
      <c r="M200" s="3">
        <v>50.800000000000011</v>
      </c>
      <c r="N200" s="3">
        <v>0.133858</v>
      </c>
      <c r="O200" s="133"/>
      <c r="Q200" s="3">
        <v>1</v>
      </c>
    </row>
    <row r="201" spans="1:17" x14ac:dyDescent="0.3">
      <c r="A201" s="1">
        <v>200</v>
      </c>
      <c r="B201" s="13">
        <v>43.643830799999996</v>
      </c>
      <c r="C201" s="13">
        <v>172.369</v>
      </c>
      <c r="D201" s="3">
        <v>1</v>
      </c>
      <c r="E201" s="86">
        <v>152.39999999999998</v>
      </c>
      <c r="F201" s="87">
        <v>584.19999999999993</v>
      </c>
      <c r="G201" s="87">
        <v>513.96799999999996</v>
      </c>
      <c r="H201" s="3">
        <v>44.196000000000026</v>
      </c>
      <c r="I201" s="3">
        <v>32.26</v>
      </c>
      <c r="J201" s="101">
        <f t="shared" si="13"/>
        <v>816.95546599999989</v>
      </c>
      <c r="K201">
        <f t="shared" si="14"/>
        <v>4.6528959220867989</v>
      </c>
      <c r="L201">
        <f t="shared" si="15"/>
        <v>9.1759674265725361E-3</v>
      </c>
      <c r="M201" s="3">
        <v>54.101999999999975</v>
      </c>
      <c r="N201" s="3">
        <v>0.22301199999999999</v>
      </c>
      <c r="O201" s="133"/>
      <c r="Q201" s="3">
        <v>0.96899999999999997</v>
      </c>
    </row>
    <row r="202" spans="1:17" x14ac:dyDescent="0.3">
      <c r="A202" s="1">
        <v>201</v>
      </c>
      <c r="B202" s="13">
        <v>16.547423999999999</v>
      </c>
      <c r="C202" s="13">
        <v>172.369</v>
      </c>
      <c r="D202" s="3">
        <v>1</v>
      </c>
      <c r="E202" s="86">
        <v>152.39999999999998</v>
      </c>
      <c r="F202" s="87">
        <v>584.19999999999993</v>
      </c>
      <c r="G202" s="87">
        <v>513.96799999999996</v>
      </c>
      <c r="H202" s="3">
        <v>44.196000000000026</v>
      </c>
      <c r="I202" s="3">
        <v>32.26</v>
      </c>
      <c r="J202" s="101">
        <f t="shared" si="13"/>
        <v>816.95546599999989</v>
      </c>
      <c r="K202">
        <f t="shared" si="14"/>
        <v>4.6528959220867989</v>
      </c>
      <c r="L202">
        <f t="shared" si="15"/>
        <v>9.1759674265725361E-3</v>
      </c>
      <c r="M202" s="3">
        <v>54.101999999999975</v>
      </c>
      <c r="N202" s="3">
        <v>0.18668999999999999</v>
      </c>
      <c r="O202" s="133"/>
      <c r="Q202" s="3">
        <v>0.96899999999999997</v>
      </c>
    </row>
    <row r="203" spans="1:17" x14ac:dyDescent="0.3">
      <c r="A203" s="1">
        <v>202</v>
      </c>
      <c r="B203" s="13">
        <v>44.540149599999999</v>
      </c>
      <c r="C203" s="13">
        <v>172.369</v>
      </c>
      <c r="D203" s="3">
        <v>2</v>
      </c>
      <c r="E203" s="86">
        <v>152.39999999999998</v>
      </c>
      <c r="F203" s="87">
        <v>584.19999999999993</v>
      </c>
      <c r="G203" s="87">
        <v>517.55099999999993</v>
      </c>
      <c r="H203" s="3">
        <v>23.876000000000033</v>
      </c>
      <c r="I203" s="3">
        <v>28.65</v>
      </c>
      <c r="J203" s="101">
        <f t="shared" si="13"/>
        <v>1288.691325</v>
      </c>
      <c r="K203">
        <f t="shared" si="14"/>
        <v>7.7341975123407698</v>
      </c>
      <c r="L203">
        <f t="shared" si="15"/>
        <v>1.4474460497834043E-2</v>
      </c>
      <c r="M203" s="3">
        <v>52.323999999999955</v>
      </c>
      <c r="N203" s="3">
        <v>0.17094199999999998</v>
      </c>
      <c r="O203" s="133"/>
      <c r="Q203" s="3">
        <v>0.78600000000000003</v>
      </c>
    </row>
    <row r="204" spans="1:17" x14ac:dyDescent="0.3">
      <c r="A204" s="1">
        <v>203</v>
      </c>
      <c r="B204" s="13">
        <v>16.892161999999999</v>
      </c>
      <c r="C204" s="13">
        <v>172.369</v>
      </c>
      <c r="D204" s="3">
        <v>2</v>
      </c>
      <c r="E204" s="86">
        <v>152.39999999999998</v>
      </c>
      <c r="F204" s="87">
        <v>584.19999999999993</v>
      </c>
      <c r="G204" s="87">
        <v>517.55099999999993</v>
      </c>
      <c r="H204" s="3">
        <v>23.876000000000033</v>
      </c>
      <c r="I204" s="3">
        <v>28.65</v>
      </c>
      <c r="J204" s="101">
        <f t="shared" si="13"/>
        <v>1288.691325</v>
      </c>
      <c r="K204">
        <f t="shared" si="14"/>
        <v>7.7341975123407698</v>
      </c>
      <c r="L204">
        <f t="shared" si="15"/>
        <v>1.4474460497834043E-2</v>
      </c>
      <c r="M204" s="3">
        <v>52.323999999999955</v>
      </c>
      <c r="N204" s="3">
        <v>0.16738600000000001</v>
      </c>
      <c r="O204" s="133"/>
      <c r="Q204" s="3">
        <v>0.78600000000000003</v>
      </c>
    </row>
    <row r="205" spans="1:17" x14ac:dyDescent="0.3">
      <c r="A205" s="1">
        <v>204</v>
      </c>
      <c r="B205" s="13">
        <v>40.265398399999995</v>
      </c>
      <c r="C205" s="13">
        <v>206.84279999999998</v>
      </c>
      <c r="D205" s="3">
        <v>2</v>
      </c>
      <c r="E205" s="88">
        <v>190.5</v>
      </c>
      <c r="F205" s="89">
        <v>152.39999999999998</v>
      </c>
      <c r="G205" s="89">
        <v>127</v>
      </c>
      <c r="H205" s="3">
        <v>76.200000000000017</v>
      </c>
      <c r="I205" s="3">
        <v>12.7</v>
      </c>
      <c r="J205" s="101">
        <f t="shared" si="13"/>
        <v>253.22529999999998</v>
      </c>
      <c r="K205">
        <f t="shared" si="14"/>
        <v>3.9878000000000031</v>
      </c>
      <c r="L205">
        <f t="shared" si="15"/>
        <v>8.7222222222222215E-3</v>
      </c>
      <c r="M205" s="3">
        <v>19.049999999999983</v>
      </c>
      <c r="N205" s="3">
        <v>8.9662000000000006E-2</v>
      </c>
      <c r="O205" s="133"/>
      <c r="Q205" s="3">
        <v>1</v>
      </c>
    </row>
    <row r="206" spans="1:17" x14ac:dyDescent="0.3">
      <c r="A206" s="1">
        <v>205</v>
      </c>
      <c r="B206" s="13">
        <v>16.271633600000001</v>
      </c>
      <c r="C206" s="13">
        <v>206.84279999999998</v>
      </c>
      <c r="D206" s="3">
        <v>2</v>
      </c>
      <c r="E206" s="88">
        <v>190.5</v>
      </c>
      <c r="F206" s="89">
        <v>152.39999999999998</v>
      </c>
      <c r="G206" s="89">
        <v>127</v>
      </c>
      <c r="H206" s="3">
        <v>76.200000000000017</v>
      </c>
      <c r="I206" s="3">
        <v>12.7</v>
      </c>
      <c r="J206" s="101">
        <f t="shared" si="13"/>
        <v>253.22529999999998</v>
      </c>
      <c r="K206">
        <f t="shared" si="14"/>
        <v>3.9878000000000031</v>
      </c>
      <c r="L206">
        <f t="shared" si="15"/>
        <v>8.7222222222222215E-3</v>
      </c>
      <c r="M206" s="3">
        <v>19.049999999999983</v>
      </c>
      <c r="N206" s="3">
        <v>0.15773399999999999</v>
      </c>
      <c r="O206" s="133"/>
      <c r="Q206" s="3">
        <v>1</v>
      </c>
    </row>
    <row r="207" spans="1:17" x14ac:dyDescent="0.3">
      <c r="A207" s="1">
        <v>206</v>
      </c>
      <c r="B207" s="13">
        <v>42.126983599999996</v>
      </c>
      <c r="C207" s="13">
        <v>206.84279999999998</v>
      </c>
      <c r="D207" s="3">
        <v>2</v>
      </c>
      <c r="E207" s="88">
        <v>279.39999999999998</v>
      </c>
      <c r="F207" s="89">
        <v>152.39999999999998</v>
      </c>
      <c r="G207" s="89">
        <v>120.523</v>
      </c>
      <c r="H207" s="3">
        <v>117.34800000000001</v>
      </c>
      <c r="I207" s="3">
        <v>19.05</v>
      </c>
      <c r="J207" s="101">
        <f t="shared" si="13"/>
        <v>569.75692500000014</v>
      </c>
      <c r="K207">
        <f t="shared" si="14"/>
        <v>7.1494422310757031</v>
      </c>
      <c r="L207">
        <f t="shared" si="15"/>
        <v>1.3380681818181825E-2</v>
      </c>
      <c r="M207" s="3">
        <v>22.351999999999975</v>
      </c>
      <c r="N207" s="3">
        <v>0.20446999999999999</v>
      </c>
      <c r="O207" s="133"/>
      <c r="Q207" s="3">
        <v>0.94399999999999995</v>
      </c>
    </row>
    <row r="208" spans="1:17" x14ac:dyDescent="0.3">
      <c r="A208" s="1">
        <v>207</v>
      </c>
      <c r="B208" s="13">
        <v>14.5479436</v>
      </c>
      <c r="C208" s="13">
        <v>206.84279999999998</v>
      </c>
      <c r="D208" s="3">
        <v>2</v>
      </c>
      <c r="E208" s="88">
        <v>279.39999999999998</v>
      </c>
      <c r="F208" s="89">
        <v>152.39999999999998</v>
      </c>
      <c r="G208" s="89">
        <v>120.523</v>
      </c>
      <c r="H208" s="3">
        <v>117.34800000000001</v>
      </c>
      <c r="I208" s="3">
        <v>19.05</v>
      </c>
      <c r="J208" s="101">
        <f t="shared" si="13"/>
        <v>569.75692500000014</v>
      </c>
      <c r="K208">
        <f t="shared" si="14"/>
        <v>7.1494422310757031</v>
      </c>
      <c r="L208">
        <f t="shared" si="15"/>
        <v>1.3380681818181825E-2</v>
      </c>
      <c r="M208" s="3">
        <v>22.351999999999975</v>
      </c>
      <c r="N208" s="3">
        <v>0.202184</v>
      </c>
      <c r="O208" s="133"/>
      <c r="Q208" s="3">
        <v>0.94399999999999995</v>
      </c>
    </row>
    <row r="209" spans="1:17" x14ac:dyDescent="0.3">
      <c r="A209" s="1">
        <v>208</v>
      </c>
      <c r="B209" s="13">
        <v>45.712258800000001</v>
      </c>
      <c r="C209" s="13">
        <v>206.84279999999998</v>
      </c>
      <c r="D209" s="3">
        <v>2</v>
      </c>
      <c r="E209" s="88">
        <v>152.39999999999998</v>
      </c>
      <c r="F209" s="89">
        <v>381</v>
      </c>
      <c r="G209" s="89">
        <v>320.61399999999998</v>
      </c>
      <c r="H209" s="3">
        <v>26.923999999999978</v>
      </c>
      <c r="I209" s="3">
        <v>22.22</v>
      </c>
      <c r="J209" s="101">
        <f t="shared" si="13"/>
        <v>775.1535879999999</v>
      </c>
      <c r="K209">
        <f t="shared" si="14"/>
        <v>5.1346576226277589</v>
      </c>
      <c r="L209">
        <f t="shared" si="15"/>
        <v>1.3349894048676985E-2</v>
      </c>
      <c r="M209" s="3">
        <v>49.27600000000001</v>
      </c>
      <c r="N209" s="3">
        <v>0.173482</v>
      </c>
      <c r="O209" s="133"/>
      <c r="Q209" s="3">
        <v>0.94799999999999995</v>
      </c>
    </row>
    <row r="210" spans="1:17" x14ac:dyDescent="0.3">
      <c r="A210" s="1">
        <v>209</v>
      </c>
      <c r="B210" s="13">
        <v>4.5850153999999996</v>
      </c>
      <c r="C210" s="13">
        <v>206.84279999999998</v>
      </c>
      <c r="D210" s="3">
        <v>2</v>
      </c>
      <c r="E210" s="88">
        <v>152.39999999999998</v>
      </c>
      <c r="F210" s="89">
        <v>381</v>
      </c>
      <c r="G210" s="89">
        <v>320.61399999999998</v>
      </c>
      <c r="H210" s="3">
        <v>26.923999999999978</v>
      </c>
      <c r="I210" s="3">
        <v>22.22</v>
      </c>
      <c r="J210" s="101">
        <f t="shared" si="13"/>
        <v>775.1535879999999</v>
      </c>
      <c r="K210">
        <f t="shared" si="14"/>
        <v>5.1346576226277589</v>
      </c>
      <c r="L210">
        <f t="shared" si="15"/>
        <v>1.3349894048676985E-2</v>
      </c>
      <c r="M210" s="3">
        <v>49.27600000000001</v>
      </c>
      <c r="N210" s="3">
        <v>0.16002</v>
      </c>
      <c r="O210" s="133"/>
      <c r="Q210" s="3">
        <v>0.94799999999999995</v>
      </c>
    </row>
    <row r="211" spans="1:17" x14ac:dyDescent="0.3">
      <c r="A211" s="1">
        <v>210</v>
      </c>
      <c r="B211" s="13">
        <v>17.374795200000001</v>
      </c>
      <c r="C211" s="13">
        <v>206.84279999999998</v>
      </c>
      <c r="D211" s="3">
        <v>2</v>
      </c>
      <c r="E211" s="88">
        <v>152.39999999999998</v>
      </c>
      <c r="F211" s="89">
        <v>381</v>
      </c>
      <c r="G211" s="89">
        <v>320.61399999999998</v>
      </c>
      <c r="H211" s="3">
        <v>26.923999999999978</v>
      </c>
      <c r="I211" s="3">
        <v>22.22</v>
      </c>
      <c r="J211" s="101">
        <f t="shared" si="13"/>
        <v>775.1535879999999</v>
      </c>
      <c r="K211">
        <f t="shared" si="14"/>
        <v>5.1346576226277589</v>
      </c>
      <c r="L211">
        <f t="shared" si="15"/>
        <v>1.3349894048676985E-2</v>
      </c>
      <c r="M211" s="3">
        <v>49.27600000000001</v>
      </c>
      <c r="N211" s="3">
        <v>0.17729200000000001</v>
      </c>
      <c r="O211" s="133"/>
      <c r="Q211" s="3">
        <v>0.94799999999999995</v>
      </c>
    </row>
    <row r="212" spans="1:17" x14ac:dyDescent="0.3">
      <c r="A212" s="1">
        <v>211</v>
      </c>
      <c r="B212" s="13">
        <v>14.685838799999999</v>
      </c>
      <c r="C212" s="13">
        <v>206.84279999999998</v>
      </c>
      <c r="D212" s="3">
        <v>2</v>
      </c>
      <c r="E212" s="88">
        <v>152.39999999999998</v>
      </c>
      <c r="F212" s="89">
        <v>381</v>
      </c>
      <c r="G212" s="89">
        <v>320.61399999999998</v>
      </c>
      <c r="H212" s="3">
        <v>26.923999999999978</v>
      </c>
      <c r="I212" s="3">
        <v>22.22</v>
      </c>
      <c r="J212" s="101">
        <f t="shared" si="13"/>
        <v>775.1535879999999</v>
      </c>
      <c r="K212">
        <f t="shared" si="14"/>
        <v>5.1346576226277589</v>
      </c>
      <c r="L212">
        <f t="shared" si="15"/>
        <v>1.3349894048676985E-2</v>
      </c>
      <c r="M212" s="3">
        <v>49.27600000000001</v>
      </c>
      <c r="N212" s="3">
        <v>0.22732999999999998</v>
      </c>
      <c r="O212" s="133"/>
      <c r="Q212" s="3">
        <v>0.94799999999999995</v>
      </c>
    </row>
    <row r="213" spans="1:17" x14ac:dyDescent="0.3">
      <c r="A213" s="1">
        <v>212</v>
      </c>
      <c r="B213" s="13">
        <v>42.058036000000001</v>
      </c>
      <c r="C213" s="13">
        <v>206.84279999999998</v>
      </c>
      <c r="D213" s="3">
        <v>1</v>
      </c>
      <c r="E213" s="88">
        <v>152.39999999999998</v>
      </c>
      <c r="F213" s="89">
        <v>381</v>
      </c>
      <c r="G213" s="89">
        <v>317.5</v>
      </c>
      <c r="H213" s="3">
        <v>50.799999999999955</v>
      </c>
      <c r="I213" s="3">
        <v>25.4</v>
      </c>
      <c r="J213" s="101">
        <f t="shared" si="13"/>
        <v>506.45059999999995</v>
      </c>
      <c r="K213">
        <f t="shared" si="14"/>
        <v>3.1902399999999997</v>
      </c>
      <c r="L213">
        <f t="shared" si="15"/>
        <v>8.7222222222222215E-3</v>
      </c>
      <c r="M213" s="3">
        <v>50.800000000000011</v>
      </c>
      <c r="N213" s="3">
        <v>0.18770599999999998</v>
      </c>
      <c r="O213" s="133"/>
      <c r="Q213" s="3">
        <v>1</v>
      </c>
    </row>
    <row r="214" spans="1:17" x14ac:dyDescent="0.3">
      <c r="A214" s="1">
        <v>213</v>
      </c>
      <c r="B214" s="13">
        <v>40.8859268</v>
      </c>
      <c r="C214" s="13">
        <v>206.84279999999998</v>
      </c>
      <c r="D214" s="3">
        <v>1</v>
      </c>
      <c r="E214" s="88">
        <v>152.39999999999998</v>
      </c>
      <c r="F214" s="89">
        <v>381</v>
      </c>
      <c r="G214" s="89">
        <v>317.5</v>
      </c>
      <c r="H214" s="3">
        <v>50.799999999999955</v>
      </c>
      <c r="I214" s="3">
        <v>25.4</v>
      </c>
      <c r="J214" s="101">
        <f t="shared" si="13"/>
        <v>506.45059999999995</v>
      </c>
      <c r="K214">
        <f t="shared" si="14"/>
        <v>3.1902399999999997</v>
      </c>
      <c r="L214">
        <f t="shared" si="15"/>
        <v>8.7222222222222215E-3</v>
      </c>
      <c r="M214" s="3">
        <v>50.800000000000011</v>
      </c>
      <c r="N214" s="3">
        <v>0.24231599999999998</v>
      </c>
      <c r="O214" s="133"/>
      <c r="Q214" s="3">
        <v>1</v>
      </c>
    </row>
    <row r="215" spans="1:17" x14ac:dyDescent="0.3">
      <c r="A215" s="1">
        <v>214</v>
      </c>
      <c r="B215" s="13">
        <v>21.097965599999998</v>
      </c>
      <c r="C215" s="13">
        <v>206.84279999999998</v>
      </c>
      <c r="D215" s="3">
        <v>1</v>
      </c>
      <c r="E215" s="88">
        <v>152.39999999999998</v>
      </c>
      <c r="F215" s="89">
        <v>381</v>
      </c>
      <c r="G215" s="89">
        <v>317.5</v>
      </c>
      <c r="H215" s="3">
        <v>50.799999999999955</v>
      </c>
      <c r="I215" s="3">
        <v>25.4</v>
      </c>
      <c r="J215" s="101">
        <f t="shared" si="13"/>
        <v>506.45059999999995</v>
      </c>
      <c r="K215">
        <f t="shared" si="14"/>
        <v>3.1902399999999997</v>
      </c>
      <c r="L215">
        <f t="shared" si="15"/>
        <v>8.7222222222222215E-3</v>
      </c>
      <c r="M215" s="3">
        <v>50.800000000000011</v>
      </c>
      <c r="N215" s="3">
        <v>0.136652</v>
      </c>
      <c r="O215" s="133"/>
      <c r="Q215" s="3">
        <v>1</v>
      </c>
    </row>
    <row r="216" spans="1:17" x14ac:dyDescent="0.3">
      <c r="A216" s="1">
        <v>215</v>
      </c>
      <c r="B216" s="13">
        <v>15.7545266</v>
      </c>
      <c r="C216" s="13">
        <v>206.84279999999998</v>
      </c>
      <c r="D216" s="3">
        <v>1</v>
      </c>
      <c r="E216" s="88">
        <v>152.39999999999998</v>
      </c>
      <c r="F216" s="89">
        <v>381</v>
      </c>
      <c r="G216" s="89">
        <v>317.5</v>
      </c>
      <c r="H216" s="3">
        <v>50.799999999999955</v>
      </c>
      <c r="I216" s="3">
        <v>25.4</v>
      </c>
      <c r="J216" s="101">
        <f t="shared" si="13"/>
        <v>506.45059999999995</v>
      </c>
      <c r="K216">
        <f t="shared" si="14"/>
        <v>3.1902399999999997</v>
      </c>
      <c r="L216">
        <f t="shared" si="15"/>
        <v>8.7222222222222215E-3</v>
      </c>
      <c r="M216" s="3">
        <v>50.800000000000011</v>
      </c>
      <c r="N216" s="3">
        <v>0.161798</v>
      </c>
      <c r="O216" s="133"/>
      <c r="Q216" s="3">
        <v>1</v>
      </c>
    </row>
    <row r="217" spans="1:17" x14ac:dyDescent="0.3">
      <c r="A217" s="1">
        <v>216</v>
      </c>
      <c r="B217" s="13">
        <v>43.643830799999996</v>
      </c>
      <c r="C217" s="13">
        <v>206.84279999999998</v>
      </c>
      <c r="D217" s="3">
        <v>1</v>
      </c>
      <c r="E217" s="88">
        <v>152.39999999999998</v>
      </c>
      <c r="F217" s="89">
        <v>584.19999999999993</v>
      </c>
      <c r="G217" s="89">
        <v>513.96799999999996</v>
      </c>
      <c r="H217" s="3">
        <v>44.196000000000026</v>
      </c>
      <c r="I217" s="3">
        <v>32.26</v>
      </c>
      <c r="J217" s="101">
        <f t="shared" si="13"/>
        <v>816.95546599999989</v>
      </c>
      <c r="K217">
        <f t="shared" si="14"/>
        <v>4.6528959220867989</v>
      </c>
      <c r="L217">
        <f t="shared" si="15"/>
        <v>9.1759674265725361E-3</v>
      </c>
      <c r="M217" s="3">
        <v>54.101999999999975</v>
      </c>
      <c r="N217" s="3">
        <v>0.28143199999999996</v>
      </c>
      <c r="O217" s="133"/>
      <c r="Q217" s="3">
        <v>0.96899999999999997</v>
      </c>
    </row>
    <row r="218" spans="1:17" x14ac:dyDescent="0.3">
      <c r="A218" s="1">
        <v>217</v>
      </c>
      <c r="B218" s="13">
        <v>16.547423999999999</v>
      </c>
      <c r="C218" s="13">
        <v>206.84279999999998</v>
      </c>
      <c r="D218" s="3">
        <v>1</v>
      </c>
      <c r="E218" s="88">
        <v>152.39999999999998</v>
      </c>
      <c r="F218" s="89">
        <v>584.19999999999993</v>
      </c>
      <c r="G218" s="89">
        <v>513.96799999999996</v>
      </c>
      <c r="H218" s="3">
        <v>44.196000000000026</v>
      </c>
      <c r="I218" s="3">
        <v>32.26</v>
      </c>
      <c r="J218" s="101">
        <f t="shared" si="13"/>
        <v>816.95546599999989</v>
      </c>
      <c r="K218">
        <f t="shared" si="14"/>
        <v>4.6528959220867989</v>
      </c>
      <c r="L218">
        <f t="shared" si="15"/>
        <v>9.1759674265725361E-3</v>
      </c>
      <c r="M218" s="3">
        <v>54.101999999999975</v>
      </c>
      <c r="N218" s="3">
        <v>0.22936199999999998</v>
      </c>
      <c r="O218" s="133"/>
      <c r="Q218" s="3">
        <v>0.96899999999999997</v>
      </c>
    </row>
    <row r="219" spans="1:17" x14ac:dyDescent="0.3">
      <c r="A219" s="1">
        <v>218</v>
      </c>
      <c r="B219" s="13">
        <v>44.540149599999999</v>
      </c>
      <c r="C219" s="13">
        <v>206.84279999999998</v>
      </c>
      <c r="D219" s="3">
        <v>2</v>
      </c>
      <c r="E219" s="88">
        <v>152.39999999999998</v>
      </c>
      <c r="F219" s="89">
        <v>584.19999999999993</v>
      </c>
      <c r="G219" s="89">
        <v>517.55099999999993</v>
      </c>
      <c r="H219" s="3">
        <v>23.876000000000033</v>
      </c>
      <c r="I219" s="3">
        <v>28.65</v>
      </c>
      <c r="J219" s="101">
        <f t="shared" si="13"/>
        <v>1288.691325</v>
      </c>
      <c r="K219">
        <f t="shared" si="14"/>
        <v>7.7341975123407698</v>
      </c>
      <c r="L219">
        <f t="shared" si="15"/>
        <v>1.4474460497834043E-2</v>
      </c>
      <c r="M219" s="3">
        <v>52.323999999999955</v>
      </c>
      <c r="N219" s="3">
        <v>0.21920200000000001</v>
      </c>
      <c r="O219" s="133"/>
      <c r="Q219" s="3">
        <v>0.78600000000000003</v>
      </c>
    </row>
    <row r="220" spans="1:17" x14ac:dyDescent="0.3">
      <c r="A220" s="1">
        <v>219</v>
      </c>
      <c r="B220" s="13">
        <v>16.892161999999999</v>
      </c>
      <c r="C220" s="13">
        <v>206.84279999999998</v>
      </c>
      <c r="D220" s="3">
        <v>2</v>
      </c>
      <c r="E220" s="88">
        <v>152.39999999999998</v>
      </c>
      <c r="F220" s="89">
        <v>584.19999999999993</v>
      </c>
      <c r="G220" s="89">
        <v>517.55099999999993</v>
      </c>
      <c r="H220" s="3">
        <v>23.876000000000033</v>
      </c>
      <c r="I220" s="3">
        <v>28.65</v>
      </c>
      <c r="J220" s="101">
        <f t="shared" si="13"/>
        <v>1288.691325</v>
      </c>
      <c r="K220">
        <f t="shared" si="14"/>
        <v>7.7341975123407698</v>
      </c>
      <c r="L220">
        <f t="shared" si="15"/>
        <v>1.4474460497834043E-2</v>
      </c>
      <c r="M220" s="3">
        <v>52.323999999999955</v>
      </c>
      <c r="N220" s="3">
        <v>0.208534</v>
      </c>
      <c r="O220" s="133"/>
      <c r="Q220" s="3">
        <v>0.78600000000000003</v>
      </c>
    </row>
    <row r="221" spans="1:17" x14ac:dyDescent="0.3">
      <c r="A221" s="1">
        <v>220</v>
      </c>
      <c r="B221" s="13">
        <v>40.265398399999995</v>
      </c>
      <c r="C221" s="13">
        <v>241.31659999999999</v>
      </c>
      <c r="D221" s="3">
        <v>2</v>
      </c>
      <c r="E221" s="90">
        <v>190.5</v>
      </c>
      <c r="F221" s="91">
        <v>152.39999999999998</v>
      </c>
      <c r="G221" s="91">
        <v>127</v>
      </c>
      <c r="H221" s="3">
        <v>76.200000000000017</v>
      </c>
      <c r="I221" s="3">
        <v>12.7</v>
      </c>
      <c r="J221" s="101">
        <f t="shared" si="13"/>
        <v>253.22529999999998</v>
      </c>
      <c r="K221">
        <f t="shared" si="14"/>
        <v>3.9878000000000031</v>
      </c>
      <c r="L221">
        <f t="shared" si="15"/>
        <v>8.7222222222222215E-3</v>
      </c>
      <c r="M221" s="3">
        <v>19.049999999999983</v>
      </c>
      <c r="N221" s="3">
        <v>0.11404599999999999</v>
      </c>
      <c r="O221" s="133"/>
      <c r="Q221" s="3">
        <v>1</v>
      </c>
    </row>
    <row r="222" spans="1:17" x14ac:dyDescent="0.3">
      <c r="A222" s="1">
        <v>221</v>
      </c>
      <c r="B222" s="14">
        <v>16.271633600000001</v>
      </c>
      <c r="C222" s="13">
        <v>241.31659999999999</v>
      </c>
      <c r="D222" s="3">
        <v>2</v>
      </c>
      <c r="E222" s="90">
        <v>190.5</v>
      </c>
      <c r="F222" s="91">
        <v>152.39999999999998</v>
      </c>
      <c r="G222" s="91">
        <v>127</v>
      </c>
      <c r="H222" s="3">
        <v>76.200000000000017</v>
      </c>
      <c r="I222" s="3">
        <v>12.7</v>
      </c>
      <c r="J222" s="101">
        <f t="shared" si="13"/>
        <v>253.22529999999998</v>
      </c>
      <c r="K222">
        <f t="shared" si="14"/>
        <v>3.9878000000000031</v>
      </c>
      <c r="L222">
        <f t="shared" si="15"/>
        <v>8.7222222222222215E-3</v>
      </c>
      <c r="M222" s="3">
        <v>19.049999999999983</v>
      </c>
      <c r="N222" s="3">
        <v>0.198882</v>
      </c>
      <c r="O222" s="133"/>
      <c r="Q222" s="3">
        <v>1</v>
      </c>
    </row>
    <row r="223" spans="1:17" x14ac:dyDescent="0.3">
      <c r="A223" s="1">
        <v>222</v>
      </c>
      <c r="B223" s="13">
        <v>42.126983599999996</v>
      </c>
      <c r="C223" s="13">
        <v>241.31659999999999</v>
      </c>
      <c r="D223" s="3">
        <v>2</v>
      </c>
      <c r="E223" s="90">
        <v>279.39999999999998</v>
      </c>
      <c r="F223" s="91">
        <v>152.39999999999998</v>
      </c>
      <c r="G223" s="91">
        <v>120.523</v>
      </c>
      <c r="H223" s="3">
        <v>117.34800000000001</v>
      </c>
      <c r="I223" s="3">
        <v>19.05</v>
      </c>
      <c r="J223" s="101">
        <f t="shared" si="13"/>
        <v>569.75692500000014</v>
      </c>
      <c r="K223">
        <f t="shared" si="14"/>
        <v>7.1494422310757031</v>
      </c>
      <c r="L223">
        <f t="shared" si="15"/>
        <v>1.3380681818181825E-2</v>
      </c>
      <c r="M223" s="3">
        <v>22.351999999999975</v>
      </c>
      <c r="N223" s="3">
        <v>0.23901399999999998</v>
      </c>
      <c r="O223" s="133"/>
      <c r="Q223" s="3">
        <v>0.94399999999999995</v>
      </c>
    </row>
    <row r="224" spans="1:17" x14ac:dyDescent="0.3">
      <c r="A224" s="1">
        <v>223</v>
      </c>
      <c r="B224" s="13">
        <v>14.5479436</v>
      </c>
      <c r="C224" s="13">
        <v>241.31659999999999</v>
      </c>
      <c r="D224" s="3">
        <v>2</v>
      </c>
      <c r="E224" s="90">
        <v>279.39999999999998</v>
      </c>
      <c r="F224" s="91">
        <v>152.39999999999998</v>
      </c>
      <c r="G224" s="91">
        <v>120.523</v>
      </c>
      <c r="H224" s="3">
        <v>117.34800000000001</v>
      </c>
      <c r="I224" s="3">
        <v>19.05</v>
      </c>
      <c r="J224" s="101">
        <f t="shared" si="13"/>
        <v>569.75692500000014</v>
      </c>
      <c r="K224">
        <f t="shared" si="14"/>
        <v>7.1494422310757031</v>
      </c>
      <c r="L224">
        <f t="shared" si="15"/>
        <v>1.3380681818181825E-2</v>
      </c>
      <c r="M224" s="3">
        <v>22.351999999999975</v>
      </c>
      <c r="N224" s="3">
        <v>0.23596599999999998</v>
      </c>
      <c r="O224" s="133"/>
      <c r="Q224" s="3">
        <v>0.94399999999999995</v>
      </c>
    </row>
    <row r="225" spans="1:17" x14ac:dyDescent="0.3">
      <c r="A225" s="1">
        <v>224</v>
      </c>
      <c r="B225" s="13">
        <v>45.712258800000001</v>
      </c>
      <c r="C225" s="13">
        <v>241.31659999999999</v>
      </c>
      <c r="D225" s="3">
        <v>2</v>
      </c>
      <c r="E225" s="90">
        <v>152.39999999999998</v>
      </c>
      <c r="F225" s="91">
        <v>381</v>
      </c>
      <c r="G225" s="91">
        <v>320.61399999999998</v>
      </c>
      <c r="H225" s="3">
        <v>26.923999999999978</v>
      </c>
      <c r="I225" s="3">
        <v>22.22</v>
      </c>
      <c r="J225" s="101">
        <f t="shared" si="13"/>
        <v>775.1535879999999</v>
      </c>
      <c r="K225">
        <f t="shared" si="14"/>
        <v>5.1346576226277589</v>
      </c>
      <c r="L225">
        <f t="shared" si="15"/>
        <v>1.3349894048676985E-2</v>
      </c>
      <c r="M225" s="3">
        <v>49.27600000000001</v>
      </c>
      <c r="N225" s="3">
        <v>0.21335999999999997</v>
      </c>
      <c r="O225" s="133"/>
      <c r="Q225" s="3">
        <v>0.94799999999999995</v>
      </c>
    </row>
    <row r="226" spans="1:17" x14ac:dyDescent="0.3">
      <c r="A226" s="1">
        <v>225</v>
      </c>
      <c r="B226" s="13">
        <v>4.5850153999999996</v>
      </c>
      <c r="C226" s="13">
        <v>241.31659999999999</v>
      </c>
      <c r="D226" s="3">
        <v>2</v>
      </c>
      <c r="E226" s="90">
        <v>152.39999999999998</v>
      </c>
      <c r="F226" s="91">
        <v>381</v>
      </c>
      <c r="G226" s="91">
        <v>320.61399999999998</v>
      </c>
      <c r="H226" s="3">
        <v>26.923999999999978</v>
      </c>
      <c r="I226" s="3">
        <v>22.22</v>
      </c>
      <c r="J226" s="101">
        <f t="shared" si="13"/>
        <v>775.1535879999999</v>
      </c>
      <c r="K226">
        <f t="shared" si="14"/>
        <v>5.1346576226277589</v>
      </c>
      <c r="L226">
        <f t="shared" si="15"/>
        <v>1.3349894048676985E-2</v>
      </c>
      <c r="M226" s="3">
        <v>49.27600000000001</v>
      </c>
      <c r="N226" s="3">
        <v>0.20319999999999999</v>
      </c>
      <c r="O226" s="133"/>
      <c r="Q226" s="3">
        <v>0.94799999999999995</v>
      </c>
    </row>
    <row r="227" spans="1:17" x14ac:dyDescent="0.3">
      <c r="A227" s="1">
        <v>226</v>
      </c>
      <c r="B227" s="13">
        <v>14.685838799999999</v>
      </c>
      <c r="C227" s="13">
        <v>241.31659999999999</v>
      </c>
      <c r="D227" s="3">
        <v>2</v>
      </c>
      <c r="E227" s="90">
        <v>152.39999999999998</v>
      </c>
      <c r="F227" s="91">
        <v>381</v>
      </c>
      <c r="G227" s="91">
        <v>320.61399999999998</v>
      </c>
      <c r="H227" s="3">
        <v>26.923999999999978</v>
      </c>
      <c r="I227" s="3">
        <v>22.22</v>
      </c>
      <c r="J227" s="101">
        <f t="shared" si="13"/>
        <v>775.1535879999999</v>
      </c>
      <c r="K227">
        <f t="shared" si="14"/>
        <v>5.1346576226277589</v>
      </c>
      <c r="L227">
        <f t="shared" si="15"/>
        <v>1.3349894048676985E-2</v>
      </c>
      <c r="M227" s="3">
        <v>49.27600000000001</v>
      </c>
      <c r="N227" s="3">
        <v>0.27711399999999997</v>
      </c>
      <c r="O227" s="133"/>
      <c r="Q227" s="3">
        <v>0.94799999999999995</v>
      </c>
    </row>
    <row r="228" spans="1:17" x14ac:dyDescent="0.3">
      <c r="A228" s="1">
        <v>227</v>
      </c>
      <c r="B228" s="13">
        <v>42.058036000000001</v>
      </c>
      <c r="C228" s="13">
        <v>241.31659999999999</v>
      </c>
      <c r="D228" s="3">
        <v>1</v>
      </c>
      <c r="E228" s="90">
        <v>152.39999999999998</v>
      </c>
      <c r="F228" s="91">
        <v>381</v>
      </c>
      <c r="G228" s="91">
        <v>317.5</v>
      </c>
      <c r="H228" s="3">
        <v>50.799999999999955</v>
      </c>
      <c r="I228" s="3">
        <v>25.4</v>
      </c>
      <c r="J228" s="101">
        <f t="shared" si="13"/>
        <v>506.45059999999995</v>
      </c>
      <c r="K228">
        <f t="shared" si="14"/>
        <v>3.1902399999999997</v>
      </c>
      <c r="L228">
        <f t="shared" si="15"/>
        <v>8.7222222222222215E-3</v>
      </c>
      <c r="M228" s="3">
        <v>50.800000000000011</v>
      </c>
      <c r="N228" s="3">
        <v>0.25171399999999999</v>
      </c>
      <c r="O228" s="133"/>
      <c r="Q228" s="3">
        <v>1</v>
      </c>
    </row>
    <row r="229" spans="1:17" x14ac:dyDescent="0.3">
      <c r="A229" s="1">
        <v>228</v>
      </c>
      <c r="B229" s="13">
        <v>40.8859268</v>
      </c>
      <c r="C229" s="13">
        <v>241.31659999999999</v>
      </c>
      <c r="D229" s="3">
        <v>1</v>
      </c>
      <c r="E229" s="90">
        <v>152.39999999999998</v>
      </c>
      <c r="F229" s="91">
        <v>381</v>
      </c>
      <c r="G229" s="91">
        <v>317.5</v>
      </c>
      <c r="H229" s="3">
        <v>50.799999999999955</v>
      </c>
      <c r="I229" s="3">
        <v>25.4</v>
      </c>
      <c r="J229" s="101">
        <f t="shared" si="13"/>
        <v>506.45059999999995</v>
      </c>
      <c r="K229">
        <f t="shared" si="14"/>
        <v>3.1902399999999997</v>
      </c>
      <c r="L229">
        <f t="shared" si="15"/>
        <v>8.7222222222222215E-3</v>
      </c>
      <c r="M229" s="3">
        <v>50.800000000000011</v>
      </c>
      <c r="N229" s="3">
        <v>0.29718</v>
      </c>
      <c r="O229" s="133"/>
      <c r="Q229" s="3">
        <v>1</v>
      </c>
    </row>
    <row r="230" spans="1:17" x14ac:dyDescent="0.3">
      <c r="A230" s="1">
        <v>229</v>
      </c>
      <c r="B230" s="13">
        <v>21.097965599999998</v>
      </c>
      <c r="C230" s="13">
        <v>241.31659999999999</v>
      </c>
      <c r="D230" s="3">
        <v>1</v>
      </c>
      <c r="E230" s="90">
        <v>152.39999999999998</v>
      </c>
      <c r="F230" s="91">
        <v>381</v>
      </c>
      <c r="G230" s="91">
        <v>317.5</v>
      </c>
      <c r="H230" s="3">
        <v>50.799999999999955</v>
      </c>
      <c r="I230" s="3">
        <v>25.4</v>
      </c>
      <c r="J230" s="101">
        <f t="shared" si="13"/>
        <v>506.45059999999995</v>
      </c>
      <c r="K230">
        <f t="shared" si="14"/>
        <v>3.1902399999999997</v>
      </c>
      <c r="L230">
        <f t="shared" si="15"/>
        <v>8.7222222222222215E-3</v>
      </c>
      <c r="M230" s="3">
        <v>50.800000000000011</v>
      </c>
      <c r="N230" s="3">
        <v>0.17068800000000001</v>
      </c>
      <c r="O230" s="133"/>
      <c r="Q230" s="3">
        <v>1</v>
      </c>
    </row>
    <row r="231" spans="1:17" x14ac:dyDescent="0.3">
      <c r="A231" s="1">
        <v>230</v>
      </c>
      <c r="B231" s="13">
        <v>15.7545266</v>
      </c>
      <c r="C231" s="13">
        <v>241.31659999999999</v>
      </c>
      <c r="D231" s="3">
        <v>1</v>
      </c>
      <c r="E231" s="90">
        <v>152.39999999999998</v>
      </c>
      <c r="F231" s="91">
        <v>381</v>
      </c>
      <c r="G231" s="91">
        <v>317.5</v>
      </c>
      <c r="H231" s="3">
        <v>50.799999999999955</v>
      </c>
      <c r="I231" s="3">
        <v>25.4</v>
      </c>
      <c r="J231" s="101">
        <f t="shared" si="13"/>
        <v>506.45059999999995</v>
      </c>
      <c r="K231">
        <f t="shared" si="14"/>
        <v>3.1902399999999997</v>
      </c>
      <c r="L231">
        <f t="shared" si="15"/>
        <v>8.7222222222222215E-3</v>
      </c>
      <c r="M231" s="3">
        <v>50.800000000000011</v>
      </c>
      <c r="N231" s="3">
        <v>0.19685</v>
      </c>
      <c r="O231" s="133"/>
      <c r="Q231" s="3">
        <v>1</v>
      </c>
    </row>
    <row r="232" spans="1:17" x14ac:dyDescent="0.3">
      <c r="A232" s="1">
        <v>231</v>
      </c>
      <c r="B232" s="13">
        <v>43.643830799999996</v>
      </c>
      <c r="C232" s="13">
        <v>241.31659999999999</v>
      </c>
      <c r="D232" s="3">
        <v>1</v>
      </c>
      <c r="E232" s="90">
        <v>152.39999999999998</v>
      </c>
      <c r="F232" s="91">
        <v>584.19999999999993</v>
      </c>
      <c r="G232" s="91">
        <v>513.96799999999996</v>
      </c>
      <c r="H232" s="3">
        <v>44.196000000000026</v>
      </c>
      <c r="I232" s="3">
        <v>32.26</v>
      </c>
      <c r="J232" s="101">
        <f t="shared" si="13"/>
        <v>816.95546599999989</v>
      </c>
      <c r="K232">
        <f t="shared" si="14"/>
        <v>4.6528959220867989</v>
      </c>
      <c r="L232">
        <f t="shared" si="15"/>
        <v>9.1759674265725361E-3</v>
      </c>
      <c r="M232" s="3">
        <v>54.101999999999975</v>
      </c>
      <c r="N232" s="3">
        <v>0.32969199999999999</v>
      </c>
      <c r="O232" s="133"/>
      <c r="Q232" s="3">
        <v>0.96899999999999997</v>
      </c>
    </row>
    <row r="233" spans="1:17" x14ac:dyDescent="0.3">
      <c r="A233" s="1">
        <v>232</v>
      </c>
      <c r="B233" s="13">
        <v>16.547423999999999</v>
      </c>
      <c r="C233" s="13">
        <v>241.31659999999999</v>
      </c>
      <c r="D233" s="3">
        <v>1</v>
      </c>
      <c r="E233" s="90">
        <v>152.39999999999998</v>
      </c>
      <c r="F233" s="91">
        <v>584.19999999999993</v>
      </c>
      <c r="G233" s="91">
        <v>513.96799999999996</v>
      </c>
      <c r="H233" s="3">
        <v>44.196000000000026</v>
      </c>
      <c r="I233" s="3">
        <v>32.26</v>
      </c>
      <c r="J233" s="101">
        <f t="shared" si="13"/>
        <v>816.95546599999989</v>
      </c>
      <c r="K233">
        <f t="shared" si="14"/>
        <v>4.6528959220867989</v>
      </c>
      <c r="L233">
        <f t="shared" si="15"/>
        <v>9.1759674265725361E-3</v>
      </c>
      <c r="M233" s="3">
        <v>54.101999999999975</v>
      </c>
      <c r="N233" s="3">
        <v>0.27127200000000001</v>
      </c>
      <c r="O233" s="133"/>
      <c r="Q233" s="3">
        <v>0.96899999999999997</v>
      </c>
    </row>
    <row r="234" spans="1:17" x14ac:dyDescent="0.3">
      <c r="A234" s="1">
        <v>233</v>
      </c>
      <c r="B234" s="13">
        <v>44.540149599999999</v>
      </c>
      <c r="C234" s="13">
        <v>241.31659999999999</v>
      </c>
      <c r="D234" s="3">
        <v>2</v>
      </c>
      <c r="E234" s="90">
        <v>152.39999999999998</v>
      </c>
      <c r="F234" s="91">
        <v>584.19999999999993</v>
      </c>
      <c r="G234" s="91">
        <v>517.55099999999993</v>
      </c>
      <c r="H234" s="3">
        <v>23.876000000000033</v>
      </c>
      <c r="I234" s="3">
        <v>28.65</v>
      </c>
      <c r="J234" s="101">
        <f t="shared" si="13"/>
        <v>1288.691325</v>
      </c>
      <c r="K234">
        <f t="shared" si="14"/>
        <v>7.7341975123407698</v>
      </c>
      <c r="L234">
        <f t="shared" si="15"/>
        <v>1.4474460497834043E-2</v>
      </c>
      <c r="M234" s="3">
        <v>52.323999999999955</v>
      </c>
      <c r="N234" s="3">
        <v>0.26644599999999996</v>
      </c>
      <c r="O234" s="133"/>
      <c r="Q234" s="3">
        <v>0.78600000000000003</v>
      </c>
    </row>
    <row r="235" spans="1:17" x14ac:dyDescent="0.3">
      <c r="A235" s="1">
        <v>234</v>
      </c>
      <c r="B235" s="13">
        <v>16.892161999999999</v>
      </c>
      <c r="C235" s="13">
        <v>241.31659999999999</v>
      </c>
      <c r="D235" s="3">
        <v>2</v>
      </c>
      <c r="E235" s="90">
        <v>152.39999999999998</v>
      </c>
      <c r="F235" s="91">
        <v>584.19999999999993</v>
      </c>
      <c r="G235" s="91">
        <v>517.55099999999993</v>
      </c>
      <c r="H235" s="3">
        <v>23.876000000000033</v>
      </c>
      <c r="I235" s="3">
        <v>28.65</v>
      </c>
      <c r="J235" s="101">
        <f t="shared" si="13"/>
        <v>1288.691325</v>
      </c>
      <c r="K235">
        <f t="shared" si="14"/>
        <v>7.7341975123407698</v>
      </c>
      <c r="L235">
        <f t="shared" si="15"/>
        <v>1.4474460497834043E-2</v>
      </c>
      <c r="M235" s="3">
        <v>52.323999999999955</v>
      </c>
      <c r="N235" s="3">
        <v>0.25171399999999999</v>
      </c>
      <c r="O235" s="133"/>
      <c r="Q235" s="3">
        <v>0.78600000000000003</v>
      </c>
    </row>
    <row r="236" spans="1:17" x14ac:dyDescent="0.3">
      <c r="A236" s="1">
        <v>235</v>
      </c>
      <c r="B236" s="13">
        <v>40.265398399999995</v>
      </c>
      <c r="C236" s="13">
        <v>275.79039999999998</v>
      </c>
      <c r="D236" s="3">
        <v>2</v>
      </c>
      <c r="E236" s="92">
        <v>190.5</v>
      </c>
      <c r="F236" s="92">
        <v>152.4</v>
      </c>
      <c r="G236" s="92">
        <v>127</v>
      </c>
      <c r="H236" s="3">
        <v>76.199999999999989</v>
      </c>
      <c r="I236" s="3">
        <v>12.7</v>
      </c>
      <c r="J236" s="101">
        <f t="shared" si="13"/>
        <v>253.22529999999998</v>
      </c>
      <c r="K236">
        <f t="shared" si="14"/>
        <v>3.9877999999999987</v>
      </c>
      <c r="L236">
        <f t="shared" si="15"/>
        <v>8.7222222222222215E-3</v>
      </c>
      <c r="M236" s="3">
        <v>19.050000000000011</v>
      </c>
      <c r="N236" s="3">
        <v>0.13868399999999997</v>
      </c>
      <c r="O236" s="133"/>
      <c r="Q236" s="3">
        <v>1</v>
      </c>
    </row>
    <row r="237" spans="1:17" x14ac:dyDescent="0.3">
      <c r="A237" s="1">
        <v>236</v>
      </c>
      <c r="B237" s="13">
        <v>16.271633600000001</v>
      </c>
      <c r="C237" s="13">
        <v>275.79039999999998</v>
      </c>
      <c r="D237" s="3">
        <v>2</v>
      </c>
      <c r="E237" s="92">
        <v>190.5</v>
      </c>
      <c r="F237" s="92">
        <v>152.39999999999998</v>
      </c>
      <c r="G237" s="92">
        <v>127</v>
      </c>
      <c r="H237" s="3">
        <v>76.200000000000017</v>
      </c>
      <c r="I237" s="3">
        <v>12.7</v>
      </c>
      <c r="J237" s="101">
        <f t="shared" si="13"/>
        <v>253.22529999999998</v>
      </c>
      <c r="K237">
        <f t="shared" si="14"/>
        <v>3.9878000000000031</v>
      </c>
      <c r="L237">
        <f t="shared" si="15"/>
        <v>8.7222222222222215E-3</v>
      </c>
      <c r="M237" s="3">
        <v>19.049999999999983</v>
      </c>
      <c r="N237" s="3">
        <v>0.24002999999999999</v>
      </c>
      <c r="O237" s="133"/>
      <c r="Q237" s="3">
        <v>1</v>
      </c>
    </row>
    <row r="238" spans="1:17" x14ac:dyDescent="0.3">
      <c r="A238" s="1">
        <v>237</v>
      </c>
      <c r="B238" s="13">
        <v>42.126983599999996</v>
      </c>
      <c r="C238" s="13">
        <v>275.79039999999998</v>
      </c>
      <c r="D238" s="3">
        <v>2</v>
      </c>
      <c r="E238" s="92">
        <v>279.39999999999998</v>
      </c>
      <c r="F238" s="92">
        <v>152.39999999999998</v>
      </c>
      <c r="G238" s="92">
        <v>120.523</v>
      </c>
      <c r="H238" s="3">
        <v>117.34800000000001</v>
      </c>
      <c r="I238" s="3">
        <v>19.05</v>
      </c>
      <c r="J238" s="101">
        <f t="shared" si="13"/>
        <v>569.75692500000014</v>
      </c>
      <c r="K238">
        <f t="shared" si="14"/>
        <v>7.1494422310757031</v>
      </c>
      <c r="L238">
        <f t="shared" si="15"/>
        <v>1.3380681818181825E-2</v>
      </c>
      <c r="M238" s="3">
        <v>22.351999999999975</v>
      </c>
      <c r="N238" s="3">
        <v>0.272034</v>
      </c>
      <c r="O238" s="133"/>
      <c r="Q238" s="3">
        <v>0.94399999999999995</v>
      </c>
    </row>
    <row r="239" spans="1:17" x14ac:dyDescent="0.3">
      <c r="A239" s="1">
        <v>238</v>
      </c>
      <c r="B239" s="13">
        <v>14.5479436</v>
      </c>
      <c r="C239" s="13">
        <v>275.79039999999998</v>
      </c>
      <c r="D239" s="3">
        <v>2</v>
      </c>
      <c r="E239" s="92">
        <v>279.39999999999998</v>
      </c>
      <c r="F239" s="92">
        <v>152.39999999999998</v>
      </c>
      <c r="G239" s="92">
        <v>120.523</v>
      </c>
      <c r="H239" s="3">
        <v>117.34800000000001</v>
      </c>
      <c r="I239" s="3">
        <v>19.05</v>
      </c>
      <c r="J239" s="101">
        <f t="shared" si="13"/>
        <v>569.75692500000014</v>
      </c>
      <c r="K239">
        <f t="shared" si="14"/>
        <v>7.1494422310757031</v>
      </c>
      <c r="L239">
        <f t="shared" si="15"/>
        <v>1.3380681818181825E-2</v>
      </c>
      <c r="M239" s="3">
        <v>22.351999999999975</v>
      </c>
      <c r="N239" s="3">
        <v>0.26974799999999999</v>
      </c>
      <c r="O239" s="133"/>
      <c r="Q239" s="3">
        <v>0.94399999999999995</v>
      </c>
    </row>
    <row r="240" spans="1:17" x14ac:dyDescent="0.3">
      <c r="A240" s="1">
        <v>239</v>
      </c>
      <c r="B240" s="13">
        <v>45.712258800000001</v>
      </c>
      <c r="C240" s="13">
        <v>275.79039999999998</v>
      </c>
      <c r="D240" s="3">
        <v>2</v>
      </c>
      <c r="E240" s="92">
        <v>152.39999999999998</v>
      </c>
      <c r="F240" s="92">
        <v>381</v>
      </c>
      <c r="G240" s="92">
        <v>320.61399999999998</v>
      </c>
      <c r="H240" s="3">
        <v>26.923999999999978</v>
      </c>
      <c r="I240" s="3">
        <v>22.22</v>
      </c>
      <c r="J240" s="101">
        <f t="shared" si="13"/>
        <v>775.1535879999999</v>
      </c>
      <c r="K240">
        <f t="shared" si="14"/>
        <v>5.1346576226277589</v>
      </c>
      <c r="L240">
        <f t="shared" si="15"/>
        <v>1.3349894048676985E-2</v>
      </c>
      <c r="M240" s="3">
        <v>49.27600000000001</v>
      </c>
      <c r="N240" s="3">
        <v>0.25958799999999999</v>
      </c>
      <c r="O240" s="133"/>
      <c r="Q240" s="3">
        <v>0.94799999999999995</v>
      </c>
    </row>
    <row r="241" spans="1:22" x14ac:dyDescent="0.3">
      <c r="A241" s="1">
        <v>240</v>
      </c>
      <c r="B241" s="13">
        <v>4.5850153999999996</v>
      </c>
      <c r="C241" s="13">
        <v>275.79039999999998</v>
      </c>
      <c r="D241" s="3">
        <v>2</v>
      </c>
      <c r="E241" s="92">
        <v>152.39999999999998</v>
      </c>
      <c r="F241" s="92">
        <v>381</v>
      </c>
      <c r="G241" s="92">
        <v>320.61399999999998</v>
      </c>
      <c r="H241" s="3">
        <v>26.923999999999978</v>
      </c>
      <c r="I241" s="3">
        <v>22.22</v>
      </c>
      <c r="J241" s="101">
        <f t="shared" si="13"/>
        <v>775.1535879999999</v>
      </c>
      <c r="K241">
        <f t="shared" si="14"/>
        <v>5.1346576226277589</v>
      </c>
      <c r="L241">
        <f t="shared" si="15"/>
        <v>1.3349894048676985E-2</v>
      </c>
      <c r="M241" s="3">
        <v>49.27600000000001</v>
      </c>
      <c r="N241" s="3">
        <v>0.254</v>
      </c>
      <c r="O241" s="133"/>
      <c r="Q241" s="3">
        <v>0.94799999999999995</v>
      </c>
    </row>
    <row r="242" spans="1:22" x14ac:dyDescent="0.3">
      <c r="A242" s="1">
        <v>241</v>
      </c>
      <c r="B242" s="13">
        <v>14.685838799999999</v>
      </c>
      <c r="C242" s="13">
        <v>275.79039999999998</v>
      </c>
      <c r="D242" s="3">
        <v>2</v>
      </c>
      <c r="E242" s="92">
        <v>152.39999999999998</v>
      </c>
      <c r="F242" s="92">
        <v>381</v>
      </c>
      <c r="G242" s="92">
        <v>320.61399999999998</v>
      </c>
      <c r="H242" s="3">
        <v>26.923999999999978</v>
      </c>
      <c r="I242" s="3">
        <v>22.22</v>
      </c>
      <c r="J242" s="101">
        <f t="shared" si="13"/>
        <v>775.1535879999999</v>
      </c>
      <c r="K242">
        <f t="shared" si="14"/>
        <v>5.1346576226277589</v>
      </c>
      <c r="L242">
        <f t="shared" si="15"/>
        <v>1.3349894048676985E-2</v>
      </c>
      <c r="M242" s="3">
        <v>49.27600000000001</v>
      </c>
      <c r="N242" s="3">
        <v>0.31927799999999995</v>
      </c>
      <c r="O242" s="133"/>
      <c r="Q242" s="3">
        <v>0.94799999999999995</v>
      </c>
    </row>
    <row r="243" spans="1:22" x14ac:dyDescent="0.3">
      <c r="A243" s="1">
        <v>242</v>
      </c>
      <c r="B243" s="13">
        <v>42.058036000000001</v>
      </c>
      <c r="C243" s="13">
        <v>275.79039999999998</v>
      </c>
      <c r="D243" s="3">
        <v>1</v>
      </c>
      <c r="E243" s="92">
        <v>152.39999999999998</v>
      </c>
      <c r="F243" s="92">
        <v>381</v>
      </c>
      <c r="G243" s="92">
        <v>317.5</v>
      </c>
      <c r="H243" s="3">
        <v>50.799999999999955</v>
      </c>
      <c r="I243" s="3">
        <v>25.4</v>
      </c>
      <c r="J243" s="101">
        <f t="shared" si="13"/>
        <v>506.45059999999995</v>
      </c>
      <c r="K243">
        <f t="shared" si="14"/>
        <v>3.1902399999999997</v>
      </c>
      <c r="L243">
        <f t="shared" si="15"/>
        <v>8.7222222222222215E-3</v>
      </c>
      <c r="M243" s="3">
        <v>50.800000000000011</v>
      </c>
      <c r="N243" s="3">
        <v>0.29616399999999998</v>
      </c>
      <c r="O243" s="133"/>
      <c r="Q243" s="3">
        <v>1</v>
      </c>
    </row>
    <row r="244" spans="1:22" x14ac:dyDescent="0.3">
      <c r="A244" s="1">
        <v>243</v>
      </c>
      <c r="B244" s="13">
        <v>21.097965599999998</v>
      </c>
      <c r="C244" s="13">
        <v>275.79039999999998</v>
      </c>
      <c r="D244" s="3">
        <v>1</v>
      </c>
      <c r="E244" s="92">
        <v>152.39999999999998</v>
      </c>
      <c r="F244" s="92">
        <v>381</v>
      </c>
      <c r="G244" s="92">
        <v>317.5</v>
      </c>
      <c r="H244" s="3">
        <v>50.799999999999955</v>
      </c>
      <c r="I244" s="3">
        <v>25.4</v>
      </c>
      <c r="J244" s="101">
        <f t="shared" si="13"/>
        <v>506.45059999999995</v>
      </c>
      <c r="K244">
        <f t="shared" si="14"/>
        <v>3.1902399999999997</v>
      </c>
      <c r="L244">
        <f t="shared" si="15"/>
        <v>8.7222222222222215E-3</v>
      </c>
      <c r="M244" s="3">
        <v>50.800000000000011</v>
      </c>
      <c r="N244" s="3">
        <v>0.20599399999999995</v>
      </c>
      <c r="O244" s="133"/>
      <c r="Q244" s="3">
        <v>1</v>
      </c>
    </row>
    <row r="245" spans="1:22" x14ac:dyDescent="0.3">
      <c r="A245" s="1">
        <v>244</v>
      </c>
      <c r="B245" s="13">
        <v>43.643830799999996</v>
      </c>
      <c r="C245" s="13">
        <v>275.79039999999998</v>
      </c>
      <c r="D245" s="3">
        <v>1</v>
      </c>
      <c r="E245" s="92">
        <v>152.39999999999998</v>
      </c>
      <c r="F245" s="92">
        <v>584.19999999999993</v>
      </c>
      <c r="G245" s="92">
        <v>513.96799999999996</v>
      </c>
      <c r="H245" s="3">
        <v>44.196000000000026</v>
      </c>
      <c r="I245" s="3">
        <v>32.26</v>
      </c>
      <c r="J245" s="101">
        <f t="shared" si="13"/>
        <v>816.95546599999989</v>
      </c>
      <c r="K245">
        <f t="shared" si="14"/>
        <v>4.6528959220867989</v>
      </c>
      <c r="L245">
        <f t="shared" si="15"/>
        <v>9.1759674265725361E-3</v>
      </c>
      <c r="M245" s="3">
        <v>54.101999999999975</v>
      </c>
      <c r="N245" s="3">
        <v>0.39776400000000001</v>
      </c>
      <c r="O245" s="133"/>
      <c r="Q245" s="3">
        <v>0.96899999999999997</v>
      </c>
    </row>
    <row r="246" spans="1:22" x14ac:dyDescent="0.3">
      <c r="A246" s="1">
        <v>245</v>
      </c>
      <c r="B246" s="13">
        <v>16.547423999999999</v>
      </c>
      <c r="C246" s="13">
        <v>275.79039999999998</v>
      </c>
      <c r="D246" s="3">
        <v>1</v>
      </c>
      <c r="E246" s="92">
        <v>152.39999999999998</v>
      </c>
      <c r="F246" s="92">
        <v>584.19999999999993</v>
      </c>
      <c r="G246" s="92">
        <v>513.96799999999996</v>
      </c>
      <c r="H246" s="3">
        <v>44.196000000000026</v>
      </c>
      <c r="I246" s="3">
        <v>32.26</v>
      </c>
      <c r="J246" s="101">
        <f t="shared" si="13"/>
        <v>816.95546599999989</v>
      </c>
      <c r="K246">
        <f t="shared" si="14"/>
        <v>4.6528959220867989</v>
      </c>
      <c r="L246">
        <f t="shared" si="15"/>
        <v>9.1759674265725361E-3</v>
      </c>
      <c r="M246" s="3">
        <v>54.101999999999975</v>
      </c>
      <c r="N246" s="3">
        <v>0.31368999999999997</v>
      </c>
      <c r="O246" s="133"/>
      <c r="Q246" s="3">
        <v>0.96899999999999997</v>
      </c>
    </row>
    <row r="247" spans="1:22" x14ac:dyDescent="0.3">
      <c r="A247" s="1">
        <v>246</v>
      </c>
      <c r="B247" s="13">
        <v>44.540149599999999</v>
      </c>
      <c r="C247" s="13">
        <v>275.79039999999998</v>
      </c>
      <c r="D247" s="3">
        <v>2</v>
      </c>
      <c r="E247" s="92">
        <v>152.39999999999998</v>
      </c>
      <c r="F247" s="92">
        <v>584.19999999999993</v>
      </c>
      <c r="G247" s="92">
        <v>517.55099999999993</v>
      </c>
      <c r="H247" s="3">
        <v>23.876000000000033</v>
      </c>
      <c r="I247" s="3">
        <v>28.65</v>
      </c>
      <c r="J247" s="101">
        <f t="shared" si="13"/>
        <v>1288.691325</v>
      </c>
      <c r="K247">
        <f t="shared" si="14"/>
        <v>7.7341975123407698</v>
      </c>
      <c r="L247">
        <f t="shared" si="15"/>
        <v>1.4474460497834043E-2</v>
      </c>
      <c r="M247" s="3">
        <v>52.323999999999955</v>
      </c>
      <c r="N247" s="3">
        <v>0.32359599999999999</v>
      </c>
      <c r="O247" s="134"/>
      <c r="Q247" s="3">
        <v>0.78600000000000003</v>
      </c>
    </row>
    <row r="248" spans="1:22" x14ac:dyDescent="0.3">
      <c r="A248" s="1">
        <v>247</v>
      </c>
      <c r="B248" s="95">
        <v>31.5090532</v>
      </c>
      <c r="C248" s="95">
        <v>206.84279999999998</v>
      </c>
      <c r="D248" s="3">
        <v>2</v>
      </c>
      <c r="E248" s="3">
        <v>203.2</v>
      </c>
      <c r="F248" s="3">
        <v>406.4</v>
      </c>
      <c r="G248" s="3">
        <v>346.202</v>
      </c>
      <c r="H248" s="3">
        <v>54.101999999999997</v>
      </c>
      <c r="I248" s="3">
        <v>25.4</v>
      </c>
      <c r="J248" s="101">
        <f t="shared" si="13"/>
        <v>1012.9011999999999</v>
      </c>
      <c r="K248">
        <f t="shared" si="14"/>
        <v>6.7304641350210987</v>
      </c>
      <c r="L248">
        <f t="shared" si="15"/>
        <v>1.2265624999999999E-2</v>
      </c>
      <c r="M248" s="3">
        <v>47.497999999999998</v>
      </c>
      <c r="N248" s="3">
        <v>0.1016</v>
      </c>
      <c r="O248" s="3" t="s">
        <v>21</v>
      </c>
      <c r="Q248" s="3">
        <v>1.4</v>
      </c>
      <c r="V248" s="3">
        <v>0</v>
      </c>
    </row>
    <row r="249" spans="1:22" x14ac:dyDescent="0.3">
      <c r="A249" s="1">
        <v>248</v>
      </c>
      <c r="B249" s="95">
        <v>27.372197199999999</v>
      </c>
      <c r="C249" s="95">
        <v>206.84279999999998</v>
      </c>
      <c r="D249" s="3">
        <v>4</v>
      </c>
      <c r="E249" s="3">
        <v>203.2</v>
      </c>
      <c r="F249" s="3">
        <v>406.4</v>
      </c>
      <c r="G249" s="3">
        <v>352.42500000000001</v>
      </c>
      <c r="H249" s="3">
        <v>28.574999999999999</v>
      </c>
      <c r="I249" s="3">
        <v>19.05</v>
      </c>
      <c r="J249" s="101">
        <f t="shared" si="13"/>
        <v>1139.5138500000003</v>
      </c>
      <c r="K249">
        <f t="shared" si="14"/>
        <v>8.4447529411764783</v>
      </c>
      <c r="L249">
        <f t="shared" si="15"/>
        <v>1.3798828125000004E-2</v>
      </c>
      <c r="M249" s="3">
        <v>44.449999999999996</v>
      </c>
      <c r="N249" s="3">
        <v>8.8899999999999993E-2</v>
      </c>
      <c r="Q249" s="3">
        <v>1.54</v>
      </c>
      <c r="V249" s="3">
        <v>0</v>
      </c>
    </row>
    <row r="250" spans="1:22" x14ac:dyDescent="0.3">
      <c r="A250" s="1">
        <v>249</v>
      </c>
      <c r="B250" s="95">
        <v>29.785363199999999</v>
      </c>
      <c r="C250" s="95">
        <v>206.84279999999998</v>
      </c>
      <c r="D250" s="3">
        <v>8</v>
      </c>
      <c r="E250" s="3">
        <v>203.2</v>
      </c>
      <c r="F250" s="3">
        <v>406.4</v>
      </c>
      <c r="G250" s="3">
        <v>358.64799999999997</v>
      </c>
      <c r="H250" s="3">
        <v>15.0495</v>
      </c>
      <c r="I250" s="3">
        <v>12.7</v>
      </c>
      <c r="J250" s="101">
        <f t="shared" si="13"/>
        <v>1012.9011999999999</v>
      </c>
      <c r="K250">
        <f t="shared" si="14"/>
        <v>8.4846808510638265</v>
      </c>
      <c r="L250">
        <f t="shared" si="15"/>
        <v>1.2265624999999999E-2</v>
      </c>
      <c r="M250" s="3">
        <v>41.401999999999994</v>
      </c>
      <c r="N250" s="3">
        <v>6.8580000000000002E-2</v>
      </c>
      <c r="Q250" s="3">
        <v>1.47</v>
      </c>
      <c r="V250" s="3">
        <v>0</v>
      </c>
    </row>
    <row r="251" spans="1:22" x14ac:dyDescent="0.3">
      <c r="A251" s="1">
        <v>250</v>
      </c>
      <c r="B251" s="95">
        <v>26.475878399999999</v>
      </c>
      <c r="C251" s="95">
        <v>206.84279999999998</v>
      </c>
      <c r="D251" s="3">
        <v>15</v>
      </c>
      <c r="E251" s="3">
        <v>203.2</v>
      </c>
      <c r="F251" s="3">
        <v>406.4</v>
      </c>
      <c r="G251" s="3">
        <v>362.01349999999996</v>
      </c>
      <c r="H251" s="3">
        <v>8.2634666666666661</v>
      </c>
      <c r="I251" s="3">
        <v>9.5250000000000004</v>
      </c>
      <c r="J251" s="101">
        <f t="shared" si="13"/>
        <v>1068.2942343750001</v>
      </c>
      <c r="K251">
        <f t="shared" si="14"/>
        <v>9.6271995708154492</v>
      </c>
      <c r="L251">
        <f t="shared" si="15"/>
        <v>1.2936401367187501E-2</v>
      </c>
      <c r="M251" s="3">
        <v>39.624000000000002</v>
      </c>
      <c r="N251" s="3">
        <v>6.8580000000000002E-2</v>
      </c>
      <c r="Q251" s="3">
        <v>1.57</v>
      </c>
      <c r="V251" s="3">
        <v>0</v>
      </c>
    </row>
    <row r="252" spans="1:22" x14ac:dyDescent="0.3">
      <c r="A252" s="1">
        <v>251</v>
      </c>
      <c r="B252" s="95">
        <v>32.750109999999999</v>
      </c>
      <c r="C252" s="95">
        <v>206.84279999999998</v>
      </c>
      <c r="D252" s="3">
        <v>1</v>
      </c>
      <c r="E252" s="3">
        <v>203.2</v>
      </c>
      <c r="F252" s="3">
        <v>406.4</v>
      </c>
      <c r="G252" s="3">
        <v>346.202</v>
      </c>
      <c r="H252" s="3">
        <v>108.20399999999999</v>
      </c>
      <c r="I252" s="3">
        <v>25.4</v>
      </c>
      <c r="J252" s="101">
        <f t="shared" si="13"/>
        <v>506.45059999999995</v>
      </c>
      <c r="K252">
        <f t="shared" si="14"/>
        <v>3.3652320675105494</v>
      </c>
      <c r="L252">
        <f t="shared" si="15"/>
        <v>6.1328124999999994E-3</v>
      </c>
      <c r="M252" s="3">
        <v>47.497999999999998</v>
      </c>
      <c r="N252" s="3">
        <v>9.3979999999999994E-2</v>
      </c>
      <c r="Q252" s="3">
        <v>0.7</v>
      </c>
      <c r="V252" s="3">
        <v>0</v>
      </c>
    </row>
    <row r="253" spans="1:22" x14ac:dyDescent="0.3">
      <c r="A253" s="1">
        <v>252</v>
      </c>
      <c r="B253" s="95">
        <v>27.165354399999998</v>
      </c>
      <c r="C253" s="95">
        <v>206.84279999999998</v>
      </c>
      <c r="D253" s="3">
        <v>2</v>
      </c>
      <c r="E253" s="3">
        <v>203.2</v>
      </c>
      <c r="F253" s="3">
        <v>406.4</v>
      </c>
      <c r="G253" s="3">
        <v>352.42500000000001</v>
      </c>
      <c r="H253" s="3">
        <v>57.15</v>
      </c>
      <c r="I253" s="3">
        <v>19.05</v>
      </c>
      <c r="J253" s="101">
        <f t="shared" si="13"/>
        <v>569.75692500000014</v>
      </c>
      <c r="K253">
        <f t="shared" si="14"/>
        <v>4.2223764705882392</v>
      </c>
      <c r="L253">
        <f t="shared" si="15"/>
        <v>6.8994140625000021E-3</v>
      </c>
      <c r="M253" s="3">
        <v>44.449999999999996</v>
      </c>
      <c r="N253" s="3">
        <v>6.3500000000000001E-2</v>
      </c>
      <c r="Q253" s="3">
        <v>0.77</v>
      </c>
      <c r="V253" s="3">
        <v>0</v>
      </c>
    </row>
    <row r="254" spans="1:22" x14ac:dyDescent="0.3">
      <c r="A254" s="1">
        <v>253</v>
      </c>
      <c r="B254" s="95">
        <v>27.6479876</v>
      </c>
      <c r="C254" s="95">
        <v>206.84279999999998</v>
      </c>
      <c r="D254" s="3">
        <v>4</v>
      </c>
      <c r="E254" s="3">
        <v>203.2</v>
      </c>
      <c r="F254" s="3">
        <v>406.4</v>
      </c>
      <c r="G254" s="3">
        <v>358.64799999999997</v>
      </c>
      <c r="H254" s="3">
        <v>30.099</v>
      </c>
      <c r="I254" s="3">
        <v>12.7</v>
      </c>
      <c r="J254" s="101">
        <f t="shared" si="13"/>
        <v>506.45059999999995</v>
      </c>
      <c r="K254">
        <f t="shared" si="14"/>
        <v>4.2423404255319133</v>
      </c>
      <c r="L254">
        <f t="shared" si="15"/>
        <v>6.1328124999999994E-3</v>
      </c>
      <c r="M254" s="3">
        <v>41.401999999999994</v>
      </c>
      <c r="N254" s="3">
        <v>7.1119999999999989E-2</v>
      </c>
      <c r="Q254" s="3">
        <v>0.73</v>
      </c>
      <c r="V254" s="3">
        <v>0</v>
      </c>
    </row>
    <row r="255" spans="1:22" x14ac:dyDescent="0.3">
      <c r="A255" s="1">
        <v>254</v>
      </c>
      <c r="B255" s="95">
        <v>25.510611999999998</v>
      </c>
      <c r="C255" s="95">
        <v>206.84279999999998</v>
      </c>
      <c r="D255" s="3">
        <v>4</v>
      </c>
      <c r="E255" s="3">
        <v>203.2</v>
      </c>
      <c r="F255" s="3">
        <v>406.4</v>
      </c>
      <c r="G255" s="3">
        <v>346.202</v>
      </c>
      <c r="H255" s="3">
        <v>27.050999999999998</v>
      </c>
      <c r="I255" s="3">
        <v>25.4</v>
      </c>
      <c r="J255" s="101">
        <f t="shared" si="13"/>
        <v>2025.8023999999998</v>
      </c>
      <c r="K255">
        <f t="shared" si="14"/>
        <v>13.460928270042197</v>
      </c>
      <c r="L255">
        <f t="shared" si="15"/>
        <v>2.4531249999999998E-2</v>
      </c>
      <c r="M255" s="3">
        <v>47.497999999999998</v>
      </c>
      <c r="N255" s="3">
        <v>9.6519999999999995E-2</v>
      </c>
      <c r="Q255" s="3">
        <v>3.02</v>
      </c>
      <c r="V255" s="3">
        <v>0</v>
      </c>
    </row>
    <row r="256" spans="1:22" x14ac:dyDescent="0.3">
      <c r="A256" s="1">
        <v>255</v>
      </c>
      <c r="B256" s="95">
        <v>30.819577199999998</v>
      </c>
      <c r="C256" s="95">
        <v>206.84279999999998</v>
      </c>
      <c r="D256" s="3">
        <v>8</v>
      </c>
      <c r="E256" s="3">
        <v>203.2</v>
      </c>
      <c r="F256" s="3">
        <v>406.4</v>
      </c>
      <c r="G256" s="3">
        <v>352.42500000000001</v>
      </c>
      <c r="H256" s="3">
        <v>14.2875</v>
      </c>
      <c r="I256" s="3">
        <v>19.05</v>
      </c>
      <c r="J256" s="101">
        <f t="shared" si="13"/>
        <v>2279.0277000000006</v>
      </c>
      <c r="K256">
        <f t="shared" si="14"/>
        <v>16.889505882352957</v>
      </c>
      <c r="L256">
        <f t="shared" si="15"/>
        <v>2.7597656250000008E-2</v>
      </c>
      <c r="M256" s="3">
        <v>44.449999999999996</v>
      </c>
      <c r="N256" s="3">
        <v>0.12445999999999999</v>
      </c>
      <c r="Q256" s="3">
        <v>3.28</v>
      </c>
      <c r="V256" s="3">
        <v>0</v>
      </c>
    </row>
    <row r="257" spans="1:22" x14ac:dyDescent="0.3">
      <c r="A257" s="1">
        <v>256</v>
      </c>
      <c r="B257" s="95">
        <v>48.539110399999998</v>
      </c>
      <c r="C257" s="95">
        <v>206.84279999999998</v>
      </c>
      <c r="D257" s="3">
        <v>2</v>
      </c>
      <c r="E257" s="3">
        <v>203.2</v>
      </c>
      <c r="F257" s="3">
        <v>406.4</v>
      </c>
      <c r="G257" s="3">
        <v>346.202</v>
      </c>
      <c r="H257" s="3">
        <v>54.101999999999997</v>
      </c>
      <c r="I257" s="3">
        <v>25.4</v>
      </c>
      <c r="J257" s="101">
        <f t="shared" si="13"/>
        <v>1012.9011999999999</v>
      </c>
      <c r="K257">
        <f t="shared" si="14"/>
        <v>6.7304641350210987</v>
      </c>
      <c r="L257">
        <f t="shared" si="15"/>
        <v>1.2265624999999999E-2</v>
      </c>
      <c r="M257" s="3">
        <v>47.497999999999998</v>
      </c>
      <c r="N257" s="3">
        <v>9.6519999999999995E-2</v>
      </c>
      <c r="Q257" s="3">
        <v>1.4</v>
      </c>
      <c r="V257" s="3">
        <v>0</v>
      </c>
    </row>
    <row r="258" spans="1:22" x14ac:dyDescent="0.3">
      <c r="A258" s="1">
        <v>257</v>
      </c>
      <c r="B258" s="95">
        <v>49.918062399999997</v>
      </c>
      <c r="C258" s="95">
        <v>206.84279999999998</v>
      </c>
      <c r="D258" s="3">
        <v>4</v>
      </c>
      <c r="E258" s="3">
        <v>203.2</v>
      </c>
      <c r="F258" s="3">
        <v>406.4</v>
      </c>
      <c r="G258" s="3">
        <v>352.42500000000001</v>
      </c>
      <c r="H258" s="3">
        <v>28.574999999999999</v>
      </c>
      <c r="I258" s="3">
        <v>19.05</v>
      </c>
      <c r="J258" s="101">
        <f t="shared" si="13"/>
        <v>1139.5138500000003</v>
      </c>
      <c r="K258">
        <f t="shared" si="14"/>
        <v>8.4447529411764783</v>
      </c>
      <c r="L258">
        <f t="shared" si="15"/>
        <v>1.3798828125000004E-2</v>
      </c>
      <c r="M258" s="3">
        <v>44.449999999999996</v>
      </c>
      <c r="N258" s="3">
        <v>0.11176</v>
      </c>
      <c r="Q258" s="3">
        <v>1.54</v>
      </c>
      <c r="V258" s="3">
        <v>0</v>
      </c>
    </row>
    <row r="259" spans="1:22" x14ac:dyDescent="0.3">
      <c r="A259" s="1">
        <v>258</v>
      </c>
      <c r="B259" s="95">
        <v>48.745953199999995</v>
      </c>
      <c r="C259" s="95">
        <v>206.84279999999998</v>
      </c>
      <c r="D259" s="3">
        <v>8</v>
      </c>
      <c r="E259" s="3">
        <v>203.2</v>
      </c>
      <c r="F259" s="3">
        <v>406.4</v>
      </c>
      <c r="G259" s="3">
        <v>358.64799999999997</v>
      </c>
      <c r="H259" s="3">
        <v>15.0495</v>
      </c>
      <c r="I259" s="3">
        <v>12.7</v>
      </c>
      <c r="J259" s="101">
        <f t="shared" ref="J259:J318" si="16">D259*(3.14/4)*I259*I259</f>
        <v>1012.9011999999999</v>
      </c>
      <c r="K259">
        <f t="shared" ref="K259:K318" si="17">J259/(2.5*(F259-G259))</f>
        <v>8.4846808510638265</v>
      </c>
      <c r="L259">
        <f t="shared" ref="L259:L322" si="18">J259/(E259*F259)</f>
        <v>1.2265624999999999E-2</v>
      </c>
      <c r="M259" s="3">
        <v>41.401999999999994</v>
      </c>
      <c r="N259" s="3">
        <v>8.1280000000000005E-2</v>
      </c>
      <c r="Q259" s="3">
        <v>1.47</v>
      </c>
      <c r="V259" s="3">
        <v>0</v>
      </c>
    </row>
    <row r="260" spans="1:22" x14ac:dyDescent="0.3">
      <c r="A260" s="1">
        <v>259</v>
      </c>
      <c r="B260" s="95">
        <v>46.7809466</v>
      </c>
      <c r="C260" s="95">
        <v>206.84279999999998</v>
      </c>
      <c r="D260" s="3">
        <v>15</v>
      </c>
      <c r="E260" s="3">
        <v>203.2</v>
      </c>
      <c r="F260" s="3">
        <v>406.4</v>
      </c>
      <c r="G260" s="3">
        <v>362.01349999999996</v>
      </c>
      <c r="H260" s="3">
        <v>8.2634666666666661</v>
      </c>
      <c r="I260" s="3">
        <v>9.5250000000000004</v>
      </c>
      <c r="J260" s="101">
        <f t="shared" si="16"/>
        <v>1068.2942343750001</v>
      </c>
      <c r="K260">
        <f t="shared" si="17"/>
        <v>9.6271995708154492</v>
      </c>
      <c r="L260">
        <f t="shared" si="18"/>
        <v>1.2936401367187501E-2</v>
      </c>
      <c r="M260" s="3">
        <v>39.624000000000002</v>
      </c>
      <c r="N260" s="3">
        <v>8.1280000000000005E-2</v>
      </c>
      <c r="Q260" s="3">
        <v>1.57</v>
      </c>
      <c r="V260" s="3">
        <v>0</v>
      </c>
    </row>
    <row r="261" spans="1:22" x14ac:dyDescent="0.3">
      <c r="A261" s="1">
        <v>260</v>
      </c>
      <c r="B261" s="95">
        <v>32.612214799999997</v>
      </c>
      <c r="C261" s="95">
        <v>206.84279999999998</v>
      </c>
      <c r="D261" s="3">
        <v>12</v>
      </c>
      <c r="E261" s="3">
        <v>203.2</v>
      </c>
      <c r="F261" s="3">
        <v>406.4</v>
      </c>
      <c r="G261" s="3">
        <v>374.65</v>
      </c>
      <c r="H261" s="3">
        <v>12.699999999999998</v>
      </c>
      <c r="I261" s="3">
        <v>12.7</v>
      </c>
      <c r="J261" s="101">
        <f t="shared" si="16"/>
        <v>1519.3517999999997</v>
      </c>
      <c r="K261">
        <f t="shared" si="17"/>
        <v>19.141439999999996</v>
      </c>
      <c r="L261">
        <f t="shared" si="18"/>
        <v>1.8398437499999996E-2</v>
      </c>
      <c r="M261" s="3">
        <v>25.4</v>
      </c>
      <c r="N261" s="3">
        <v>0.1016</v>
      </c>
      <c r="Q261" s="3">
        <v>1.47</v>
      </c>
      <c r="V261" s="3">
        <v>0</v>
      </c>
    </row>
    <row r="262" spans="1:22" x14ac:dyDescent="0.3">
      <c r="A262" s="1">
        <v>261</v>
      </c>
      <c r="B262" s="95">
        <v>30.9574724</v>
      </c>
      <c r="C262" s="95">
        <v>206.84279999999998</v>
      </c>
      <c r="D262" s="3">
        <v>8</v>
      </c>
      <c r="E262" s="3">
        <v>203.2</v>
      </c>
      <c r="F262" s="3">
        <v>406.4</v>
      </c>
      <c r="G262" s="3">
        <v>374.65</v>
      </c>
      <c r="H262" s="3">
        <v>19.049999999999997</v>
      </c>
      <c r="I262" s="3">
        <v>12.7</v>
      </c>
      <c r="J262" s="101">
        <f t="shared" si="16"/>
        <v>1012.9011999999999</v>
      </c>
      <c r="K262">
        <f t="shared" si="17"/>
        <v>12.760959999999999</v>
      </c>
      <c r="L262">
        <f t="shared" si="18"/>
        <v>1.2265624999999999E-2</v>
      </c>
      <c r="M262" s="3">
        <v>25.4</v>
      </c>
      <c r="N262" s="3">
        <v>6.0959999999999993E-2</v>
      </c>
      <c r="Q262" s="3">
        <v>1.47</v>
      </c>
      <c r="V262" s="3">
        <v>0</v>
      </c>
    </row>
    <row r="263" spans="1:22" x14ac:dyDescent="0.3">
      <c r="A263" s="1">
        <v>262</v>
      </c>
      <c r="B263" s="95">
        <v>30.543786799999999</v>
      </c>
      <c r="C263" s="95">
        <v>206.84279999999998</v>
      </c>
      <c r="D263" s="3">
        <v>6</v>
      </c>
      <c r="E263" s="3">
        <v>203.2</v>
      </c>
      <c r="F263" s="3">
        <v>406.4</v>
      </c>
      <c r="G263" s="3">
        <v>374.65</v>
      </c>
      <c r="H263" s="3">
        <v>25.399999999999995</v>
      </c>
      <c r="I263" s="3">
        <v>12.7</v>
      </c>
      <c r="J263" s="101">
        <f t="shared" si="16"/>
        <v>759.67589999999984</v>
      </c>
      <c r="K263">
        <f t="shared" si="17"/>
        <v>9.5707199999999979</v>
      </c>
      <c r="L263">
        <f t="shared" si="18"/>
        <v>9.1992187499999982E-3</v>
      </c>
      <c r="M263" s="3">
        <v>25.4</v>
      </c>
      <c r="N263" s="3">
        <v>0.11429999999999998</v>
      </c>
      <c r="Q263" s="3">
        <v>1.47</v>
      </c>
      <c r="V263" s="3">
        <v>0</v>
      </c>
    </row>
    <row r="264" spans="1:22" x14ac:dyDescent="0.3">
      <c r="A264" s="1">
        <v>263</v>
      </c>
      <c r="B264" s="95">
        <v>40.472241199999999</v>
      </c>
      <c r="C264" s="95">
        <v>206.84279999999998</v>
      </c>
      <c r="D264" s="3">
        <v>4</v>
      </c>
      <c r="E264" s="3">
        <v>203.2</v>
      </c>
      <c r="F264" s="3">
        <v>406.4</v>
      </c>
      <c r="G264" s="3">
        <v>374.65</v>
      </c>
      <c r="H264" s="3">
        <v>38.099999999999994</v>
      </c>
      <c r="I264" s="3">
        <v>12.7</v>
      </c>
      <c r="J264" s="101">
        <f t="shared" si="16"/>
        <v>506.45059999999995</v>
      </c>
      <c r="K264">
        <f t="shared" si="17"/>
        <v>6.3804799999999995</v>
      </c>
      <c r="L264">
        <f t="shared" si="18"/>
        <v>6.1328124999999994E-3</v>
      </c>
      <c r="M264" s="3">
        <v>25.4</v>
      </c>
      <c r="N264" s="3">
        <v>7.1119999999999989E-2</v>
      </c>
      <c r="Q264" s="3">
        <v>1.47</v>
      </c>
      <c r="V264" s="3">
        <v>0</v>
      </c>
    </row>
    <row r="265" spans="1:22" x14ac:dyDescent="0.3">
      <c r="A265" s="1">
        <v>264</v>
      </c>
      <c r="B265" s="95">
        <v>29.785363199999999</v>
      </c>
      <c r="C265" s="95">
        <v>206.84279999999998</v>
      </c>
      <c r="D265" s="3">
        <v>6</v>
      </c>
      <c r="E265" s="3">
        <v>203.2</v>
      </c>
      <c r="F265" s="3">
        <v>406.4</v>
      </c>
      <c r="G265" s="3">
        <v>352.42500000000001</v>
      </c>
      <c r="H265" s="3">
        <v>19.05</v>
      </c>
      <c r="I265" s="3">
        <v>19.05</v>
      </c>
      <c r="J265" s="101">
        <f t="shared" si="16"/>
        <v>1709.270775</v>
      </c>
      <c r="K265">
        <f t="shared" si="17"/>
        <v>12.667129411764714</v>
      </c>
      <c r="L265">
        <f t="shared" si="18"/>
        <v>2.06982421875E-2</v>
      </c>
      <c r="M265" s="3">
        <v>44.449999999999996</v>
      </c>
      <c r="N265" s="3">
        <v>9.1439999999999994E-2</v>
      </c>
      <c r="Q265" s="3">
        <v>1.54</v>
      </c>
      <c r="V265" s="3">
        <v>0</v>
      </c>
    </row>
    <row r="266" spans="1:22" x14ac:dyDescent="0.3">
      <c r="A266" s="1">
        <v>265</v>
      </c>
      <c r="B266" s="95">
        <v>30.7506296</v>
      </c>
      <c r="C266" s="95">
        <v>206.84279999999998</v>
      </c>
      <c r="D266" s="3">
        <v>4</v>
      </c>
      <c r="E266" s="3">
        <v>203.2</v>
      </c>
      <c r="F266" s="3">
        <v>406.4</v>
      </c>
      <c r="G266" s="3">
        <v>352.42500000000001</v>
      </c>
      <c r="H266" s="3">
        <v>28.574999999999999</v>
      </c>
      <c r="I266" s="3">
        <v>19.05</v>
      </c>
      <c r="J266" s="101">
        <f t="shared" si="16"/>
        <v>1139.5138500000003</v>
      </c>
      <c r="K266">
        <f t="shared" si="17"/>
        <v>8.4447529411764783</v>
      </c>
      <c r="L266">
        <f t="shared" si="18"/>
        <v>1.3798828125000004E-2</v>
      </c>
      <c r="M266" s="3">
        <v>44.449999999999996</v>
      </c>
      <c r="N266" s="3">
        <v>0.1016</v>
      </c>
      <c r="Q266" s="3">
        <v>1.54</v>
      </c>
      <c r="V266" s="3">
        <v>0</v>
      </c>
    </row>
    <row r="267" spans="1:22" x14ac:dyDescent="0.3">
      <c r="A267" s="1">
        <v>266</v>
      </c>
      <c r="B267" s="95">
        <v>30.543786799999999</v>
      </c>
      <c r="C267" s="95">
        <v>206.84279999999998</v>
      </c>
      <c r="D267" s="3">
        <v>3</v>
      </c>
      <c r="E267" s="3">
        <v>203.2</v>
      </c>
      <c r="F267" s="3">
        <v>406.4</v>
      </c>
      <c r="G267" s="3">
        <v>352.42500000000001</v>
      </c>
      <c r="H267" s="3">
        <v>38.1</v>
      </c>
      <c r="I267" s="3">
        <v>19.05</v>
      </c>
      <c r="J267" s="101">
        <f t="shared" si="16"/>
        <v>854.63538749999998</v>
      </c>
      <c r="K267">
        <f t="shared" si="17"/>
        <v>6.333564705882357</v>
      </c>
      <c r="L267">
        <f t="shared" si="18"/>
        <v>1.034912109375E-2</v>
      </c>
      <c r="M267" s="3">
        <v>44.449999999999996</v>
      </c>
      <c r="N267" s="3">
        <v>6.6039999999999988E-2</v>
      </c>
      <c r="Q267" s="3">
        <v>1.61</v>
      </c>
      <c r="V267" s="3">
        <v>0</v>
      </c>
    </row>
    <row r="268" spans="1:22" x14ac:dyDescent="0.3">
      <c r="A268" s="1">
        <v>267</v>
      </c>
      <c r="B268" s="95">
        <v>28.3374636</v>
      </c>
      <c r="C268" s="95">
        <v>206.84279999999998</v>
      </c>
      <c r="D268" s="3">
        <v>2</v>
      </c>
      <c r="E268" s="3">
        <v>304.79999999999995</v>
      </c>
      <c r="F268" s="3">
        <v>406.4</v>
      </c>
      <c r="G268" s="3">
        <v>352.42500000000001</v>
      </c>
      <c r="H268" s="3">
        <v>107.94999999999999</v>
      </c>
      <c r="I268" s="3">
        <v>19.05</v>
      </c>
      <c r="J268" s="101">
        <f t="shared" si="16"/>
        <v>569.75692500000014</v>
      </c>
      <c r="K268">
        <f t="shared" si="17"/>
        <v>4.2223764705882392</v>
      </c>
      <c r="L268">
        <f t="shared" si="18"/>
        <v>4.5996093750000026E-3</v>
      </c>
      <c r="M268" s="3">
        <v>44.449999999999996</v>
      </c>
      <c r="N268" s="3">
        <v>7.6200000000000004E-2</v>
      </c>
      <c r="Q268" s="3">
        <v>1.76</v>
      </c>
      <c r="V268" s="3">
        <v>0</v>
      </c>
    </row>
    <row r="269" spans="1:22" x14ac:dyDescent="0.3">
      <c r="A269" s="1">
        <v>268</v>
      </c>
      <c r="B269" s="95">
        <v>27.7858828</v>
      </c>
      <c r="C269" s="95">
        <v>206.84279999999998</v>
      </c>
      <c r="D269" s="3">
        <v>2</v>
      </c>
      <c r="E269" s="3">
        <v>203.2</v>
      </c>
      <c r="F269" s="3">
        <v>406.4</v>
      </c>
      <c r="G269" s="3">
        <v>349.30099999999999</v>
      </c>
      <c r="H269" s="3">
        <v>55.625999999999998</v>
      </c>
      <c r="I269" s="3">
        <v>22.25</v>
      </c>
      <c r="J269" s="101">
        <f t="shared" si="16"/>
        <v>777.24812500000007</v>
      </c>
      <c r="K269">
        <f t="shared" si="17"/>
        <v>5.4449158479132747</v>
      </c>
      <c r="L269">
        <f t="shared" si="18"/>
        <v>9.4120078376875513E-3</v>
      </c>
      <c r="M269" s="3">
        <v>45.973999999999997</v>
      </c>
      <c r="N269" s="3">
        <v>7.6200000000000004E-2</v>
      </c>
      <c r="Q269" s="3">
        <v>0.99</v>
      </c>
      <c r="V269" s="3">
        <v>0</v>
      </c>
    </row>
    <row r="270" spans="1:22" x14ac:dyDescent="0.3">
      <c r="A270" s="1">
        <v>269</v>
      </c>
      <c r="B270" s="95">
        <v>27.7858828</v>
      </c>
      <c r="C270" s="95">
        <v>206.84279999999998</v>
      </c>
      <c r="D270" s="3">
        <v>2</v>
      </c>
      <c r="E270" s="3">
        <v>203.2</v>
      </c>
      <c r="F270" s="3">
        <v>406.4</v>
      </c>
      <c r="G270" s="3">
        <v>349.30099999999999</v>
      </c>
      <c r="H270" s="3">
        <v>55.625999999999998</v>
      </c>
      <c r="I270" s="3">
        <v>22.25</v>
      </c>
      <c r="J270" s="101">
        <f t="shared" si="16"/>
        <v>777.24812500000007</v>
      </c>
      <c r="K270">
        <f t="shared" si="17"/>
        <v>5.4449158479132747</v>
      </c>
      <c r="L270">
        <f t="shared" si="18"/>
        <v>9.4120078376875513E-3</v>
      </c>
      <c r="M270" s="3">
        <v>45.973999999999997</v>
      </c>
      <c r="N270" s="3">
        <v>6.3500000000000001E-2</v>
      </c>
      <c r="Q270" s="3">
        <v>0.99</v>
      </c>
      <c r="V270" s="3">
        <v>0</v>
      </c>
    </row>
    <row r="271" spans="1:22" x14ac:dyDescent="0.3">
      <c r="A271" s="1">
        <v>270</v>
      </c>
      <c r="B271" s="95">
        <v>20.960070399999999</v>
      </c>
      <c r="C271" s="95">
        <v>206.84279999999998</v>
      </c>
      <c r="D271" s="3">
        <v>2</v>
      </c>
      <c r="E271" s="3">
        <v>152.39999999999998</v>
      </c>
      <c r="F271" s="3">
        <v>406.4</v>
      </c>
      <c r="G271" s="3">
        <v>349.30099999999999</v>
      </c>
      <c r="H271" s="3">
        <v>30.225999999999992</v>
      </c>
      <c r="I271" s="3">
        <v>22.25</v>
      </c>
      <c r="J271" s="101">
        <f t="shared" si="16"/>
        <v>777.24812500000007</v>
      </c>
      <c r="K271">
        <f t="shared" si="17"/>
        <v>5.4449158479132747</v>
      </c>
      <c r="L271">
        <f t="shared" si="18"/>
        <v>1.2549343783583404E-2</v>
      </c>
      <c r="M271" s="3">
        <v>45.973999999999997</v>
      </c>
      <c r="N271" s="3">
        <v>7.6200000000000004E-2</v>
      </c>
      <c r="Q271" s="3">
        <v>1.06</v>
      </c>
      <c r="V271" s="3">
        <v>0</v>
      </c>
    </row>
    <row r="272" spans="1:22" x14ac:dyDescent="0.3">
      <c r="A272" s="1">
        <v>271</v>
      </c>
      <c r="B272" s="95">
        <v>20.960070399999999</v>
      </c>
      <c r="C272" s="95">
        <v>206.84279999999998</v>
      </c>
      <c r="D272" s="3">
        <v>2</v>
      </c>
      <c r="E272" s="3">
        <v>152.39999999999998</v>
      </c>
      <c r="F272" s="3">
        <v>406.4</v>
      </c>
      <c r="G272" s="3">
        <v>349.30099999999999</v>
      </c>
      <c r="H272" s="3">
        <v>30.225999999999992</v>
      </c>
      <c r="I272" s="3">
        <v>22.25</v>
      </c>
      <c r="J272" s="101">
        <f t="shared" si="16"/>
        <v>777.24812500000007</v>
      </c>
      <c r="K272">
        <f t="shared" si="17"/>
        <v>5.4449158479132747</v>
      </c>
      <c r="L272">
        <f t="shared" si="18"/>
        <v>1.2549343783583404E-2</v>
      </c>
      <c r="M272" s="3">
        <v>45.973999999999997</v>
      </c>
      <c r="N272" s="3">
        <v>8.8899999999999993E-2</v>
      </c>
      <c r="Q272" s="3">
        <v>1.06</v>
      </c>
      <c r="V272" s="3">
        <v>0</v>
      </c>
    </row>
    <row r="273" spans="1:22" x14ac:dyDescent="0.3">
      <c r="A273" s="1">
        <v>272</v>
      </c>
      <c r="B273" s="95">
        <v>25.096926400000001</v>
      </c>
      <c r="C273" s="95">
        <v>206.84279999999998</v>
      </c>
      <c r="D273" s="3">
        <v>2</v>
      </c>
      <c r="E273" s="3">
        <v>101.6</v>
      </c>
      <c r="F273" s="3">
        <v>406.4</v>
      </c>
      <c r="G273" s="3">
        <v>349.30099999999999</v>
      </c>
      <c r="H273" s="3">
        <v>4.8260000000000005</v>
      </c>
      <c r="I273" s="3">
        <v>22.25</v>
      </c>
      <c r="J273" s="101">
        <f t="shared" si="16"/>
        <v>777.24812500000007</v>
      </c>
      <c r="K273">
        <f t="shared" si="17"/>
        <v>5.4449158479132747</v>
      </c>
      <c r="L273">
        <f t="shared" si="18"/>
        <v>1.8824015675375103E-2</v>
      </c>
      <c r="M273" s="3">
        <v>45.973999999999997</v>
      </c>
      <c r="N273" s="3">
        <v>0.1016</v>
      </c>
      <c r="Q273" s="3">
        <v>1.18</v>
      </c>
      <c r="V273" s="3">
        <v>0</v>
      </c>
    </row>
    <row r="274" spans="1:22" x14ac:dyDescent="0.3">
      <c r="A274" s="1">
        <v>273</v>
      </c>
      <c r="B274" s="95">
        <v>25.096926400000001</v>
      </c>
      <c r="C274" s="95">
        <v>206.84279999999998</v>
      </c>
      <c r="D274" s="3">
        <v>2</v>
      </c>
      <c r="E274" s="3">
        <v>203.2</v>
      </c>
      <c r="F274" s="3">
        <v>609.59999999999991</v>
      </c>
      <c r="G274" s="3">
        <v>552.50099999999986</v>
      </c>
      <c r="H274" s="3">
        <v>55.625999999999998</v>
      </c>
      <c r="I274" s="3">
        <v>22.25</v>
      </c>
      <c r="J274" s="101">
        <f t="shared" si="16"/>
        <v>777.24812500000007</v>
      </c>
      <c r="K274">
        <f t="shared" si="17"/>
        <v>5.4449158479132693</v>
      </c>
      <c r="L274">
        <f t="shared" si="18"/>
        <v>6.274671891791702E-3</v>
      </c>
      <c r="M274" s="3">
        <v>45.973999999999997</v>
      </c>
      <c r="N274" s="3">
        <v>0.127</v>
      </c>
      <c r="Q274" s="3">
        <v>1.34</v>
      </c>
      <c r="V274" s="3">
        <v>0</v>
      </c>
    </row>
    <row r="275" spans="1:22" x14ac:dyDescent="0.3">
      <c r="A275" s="1">
        <v>274</v>
      </c>
      <c r="B275" s="95">
        <v>30.061153599999997</v>
      </c>
      <c r="C275" s="95">
        <v>206.84279999999998</v>
      </c>
      <c r="D275" s="3">
        <v>2</v>
      </c>
      <c r="E275" s="3">
        <v>203.2</v>
      </c>
      <c r="F275" s="3">
        <v>406.4</v>
      </c>
      <c r="G275" s="3">
        <v>374.70099999999996</v>
      </c>
      <c r="H275" s="3">
        <v>81.025999999999996</v>
      </c>
      <c r="I275" s="3">
        <v>22.25</v>
      </c>
      <c r="J275" s="101">
        <f t="shared" si="16"/>
        <v>777.24812500000007</v>
      </c>
      <c r="K275">
        <f t="shared" si="17"/>
        <v>9.8078567147228597</v>
      </c>
      <c r="L275">
        <f t="shared" si="18"/>
        <v>9.4120078376875513E-3</v>
      </c>
      <c r="M275" s="3">
        <v>20.574000000000002</v>
      </c>
      <c r="N275" s="3">
        <v>5.0799999999999998E-2</v>
      </c>
      <c r="Q275" s="3">
        <v>1.06</v>
      </c>
      <c r="V275" s="3">
        <v>0</v>
      </c>
    </row>
    <row r="276" spans="1:22" x14ac:dyDescent="0.3">
      <c r="A276" s="1">
        <v>275</v>
      </c>
      <c r="B276" s="95">
        <v>30.061153599999997</v>
      </c>
      <c r="C276" s="95">
        <v>206.84279999999998</v>
      </c>
      <c r="D276" s="3">
        <v>2</v>
      </c>
      <c r="E276" s="3">
        <v>203.2</v>
      </c>
      <c r="F276" s="3">
        <v>406.4</v>
      </c>
      <c r="G276" s="3">
        <v>349.30099999999999</v>
      </c>
      <c r="H276" s="3">
        <v>55.625999999999998</v>
      </c>
      <c r="I276" s="3">
        <v>22.25</v>
      </c>
      <c r="J276" s="101">
        <f t="shared" si="16"/>
        <v>777.24812500000007</v>
      </c>
      <c r="K276">
        <f t="shared" si="17"/>
        <v>5.4449158479132747</v>
      </c>
      <c r="L276">
        <f t="shared" si="18"/>
        <v>9.4120078376875513E-3</v>
      </c>
      <c r="M276" s="3">
        <v>45.973999999999997</v>
      </c>
      <c r="N276" s="3">
        <v>0.11683999999999999</v>
      </c>
      <c r="Q276" s="3">
        <v>1.06</v>
      </c>
      <c r="V276" s="3">
        <v>0</v>
      </c>
    </row>
    <row r="277" spans="1:22" x14ac:dyDescent="0.3">
      <c r="A277" s="1">
        <v>276</v>
      </c>
      <c r="B277" s="95">
        <v>30.061153599999997</v>
      </c>
      <c r="C277" s="95">
        <v>206.84279999999998</v>
      </c>
      <c r="D277" s="3">
        <v>2</v>
      </c>
      <c r="E277" s="3">
        <v>203.2</v>
      </c>
      <c r="F277" s="3">
        <v>304.79999999999995</v>
      </c>
      <c r="G277" s="3">
        <v>209.60099999999994</v>
      </c>
      <c r="H277" s="3">
        <v>17.525999999999996</v>
      </c>
      <c r="I277" s="3">
        <v>22.25</v>
      </c>
      <c r="J277" s="101">
        <f t="shared" si="16"/>
        <v>777.24812500000007</v>
      </c>
      <c r="K277">
        <f t="shared" si="17"/>
        <v>3.2657827288101764</v>
      </c>
      <c r="L277">
        <f t="shared" si="18"/>
        <v>1.2549343783583404E-2</v>
      </c>
      <c r="M277" s="3">
        <v>84.073999999999998</v>
      </c>
      <c r="N277" s="3">
        <v>0.12191999999999999</v>
      </c>
      <c r="Q277" s="3">
        <v>1.06</v>
      </c>
      <c r="V277" s="3">
        <v>0</v>
      </c>
    </row>
    <row r="278" spans="1:22" x14ac:dyDescent="0.3">
      <c r="A278" s="1">
        <v>277</v>
      </c>
      <c r="B278" s="95">
        <v>30.061153599999997</v>
      </c>
      <c r="C278" s="95">
        <v>206.84279999999998</v>
      </c>
      <c r="D278" s="3">
        <v>2</v>
      </c>
      <c r="E278" s="3">
        <v>203.2</v>
      </c>
      <c r="F278" s="3">
        <v>304.79999999999995</v>
      </c>
      <c r="G278" s="3">
        <v>247.70099999999996</v>
      </c>
      <c r="H278" s="3">
        <v>55.625999999999998</v>
      </c>
      <c r="I278" s="3">
        <v>22.25</v>
      </c>
      <c r="J278" s="101">
        <f t="shared" si="16"/>
        <v>777.24812500000007</v>
      </c>
      <c r="K278">
        <f t="shared" si="17"/>
        <v>5.4449158479132747</v>
      </c>
      <c r="L278">
        <f t="shared" si="18"/>
        <v>1.2549343783583404E-2</v>
      </c>
      <c r="M278" s="3">
        <v>45.973999999999997</v>
      </c>
      <c r="N278" s="3">
        <v>1.397</v>
      </c>
      <c r="Q278" s="3">
        <v>1.06</v>
      </c>
      <c r="V278" s="3">
        <v>0</v>
      </c>
    </row>
    <row r="279" spans="1:22" x14ac:dyDescent="0.3">
      <c r="A279" s="1">
        <v>278</v>
      </c>
      <c r="B279" s="95">
        <v>27.165354399999998</v>
      </c>
      <c r="C279" s="95">
        <v>206.84279999999998</v>
      </c>
      <c r="D279" s="3">
        <v>2</v>
      </c>
      <c r="E279" s="3">
        <v>203.2</v>
      </c>
      <c r="F279" s="3">
        <v>203.2</v>
      </c>
      <c r="G279" s="3">
        <v>171.50099999999998</v>
      </c>
      <c r="H279" s="3">
        <v>81.025999999999996</v>
      </c>
      <c r="I279" s="3">
        <v>22.25</v>
      </c>
      <c r="J279" s="101">
        <f t="shared" si="16"/>
        <v>777.24812500000007</v>
      </c>
      <c r="K279">
        <f t="shared" si="17"/>
        <v>9.8078567147228597</v>
      </c>
      <c r="L279">
        <f t="shared" si="18"/>
        <v>1.8824015675375103E-2</v>
      </c>
      <c r="M279" s="3">
        <v>20.574000000000002</v>
      </c>
      <c r="N279" s="3">
        <v>4.5719999999999997E-2</v>
      </c>
      <c r="Q279" s="3">
        <v>0.99</v>
      </c>
      <c r="V279" s="3">
        <v>0</v>
      </c>
    </row>
    <row r="280" spans="1:22" x14ac:dyDescent="0.3">
      <c r="A280" s="1">
        <v>279</v>
      </c>
      <c r="B280" s="95">
        <v>27.165354399999998</v>
      </c>
      <c r="C280" s="95">
        <v>206.84279999999998</v>
      </c>
      <c r="D280" s="3">
        <v>2</v>
      </c>
      <c r="E280" s="3">
        <v>203.2</v>
      </c>
      <c r="F280" s="3">
        <v>203.2</v>
      </c>
      <c r="G280" s="3">
        <v>171.50099999999998</v>
      </c>
      <c r="H280" s="3">
        <v>81.025999999999996</v>
      </c>
      <c r="I280" s="3">
        <v>22.25</v>
      </c>
      <c r="J280" s="101">
        <f t="shared" si="16"/>
        <v>777.24812500000007</v>
      </c>
      <c r="K280">
        <f t="shared" si="17"/>
        <v>9.8078567147228597</v>
      </c>
      <c r="L280">
        <f t="shared" si="18"/>
        <v>1.8824015675375103E-2</v>
      </c>
      <c r="M280" s="3">
        <v>20.574000000000002</v>
      </c>
      <c r="N280" s="3">
        <v>0.1016</v>
      </c>
      <c r="Q280" s="3">
        <v>0.99</v>
      </c>
      <c r="V280" s="3">
        <v>0</v>
      </c>
    </row>
    <row r="281" spans="1:22" x14ac:dyDescent="0.3">
      <c r="A281" s="1">
        <v>280</v>
      </c>
      <c r="B281" s="95">
        <v>27.165354399999998</v>
      </c>
      <c r="C281" s="95">
        <v>206.84279999999998</v>
      </c>
      <c r="D281" s="3">
        <v>2</v>
      </c>
      <c r="E281" s="3">
        <v>203.2</v>
      </c>
      <c r="F281" s="3">
        <v>406.4</v>
      </c>
      <c r="G281" s="3">
        <v>311.20099999999996</v>
      </c>
      <c r="H281" s="3">
        <v>17.525999999999996</v>
      </c>
      <c r="I281" s="3">
        <v>22.25</v>
      </c>
      <c r="J281" s="101">
        <f t="shared" si="16"/>
        <v>777.24812500000007</v>
      </c>
      <c r="K281">
        <f t="shared" si="17"/>
        <v>3.2657827288101764</v>
      </c>
      <c r="L281">
        <f t="shared" si="18"/>
        <v>9.4120078376875513E-3</v>
      </c>
      <c r="M281" s="3">
        <v>84.073999999999998</v>
      </c>
      <c r="N281" s="3">
        <v>0.16763999999999998</v>
      </c>
      <c r="Q281" s="3">
        <v>1.18</v>
      </c>
      <c r="V281" s="3">
        <v>0</v>
      </c>
    </row>
    <row r="282" spans="1:22" x14ac:dyDescent="0.3">
      <c r="A282" s="1">
        <v>281</v>
      </c>
      <c r="B282" s="95">
        <v>27.165354399999998</v>
      </c>
      <c r="C282" s="95">
        <v>206.84279999999998</v>
      </c>
      <c r="D282" s="3">
        <v>2</v>
      </c>
      <c r="E282" s="3">
        <v>203.2</v>
      </c>
      <c r="F282" s="3">
        <v>406.4</v>
      </c>
      <c r="G282" s="3">
        <v>311.20099999999996</v>
      </c>
      <c r="H282" s="3">
        <v>17.525999999999996</v>
      </c>
      <c r="I282" s="3">
        <v>22.25</v>
      </c>
      <c r="J282" s="101">
        <f t="shared" si="16"/>
        <v>777.24812500000007</v>
      </c>
      <c r="K282">
        <f t="shared" si="17"/>
        <v>3.2657827288101764</v>
      </c>
      <c r="L282">
        <f t="shared" si="18"/>
        <v>9.4120078376875513E-3</v>
      </c>
      <c r="M282" s="3">
        <v>84.073999999999998</v>
      </c>
      <c r="N282" s="3">
        <v>0.17271999999999998</v>
      </c>
      <c r="Q282" s="3">
        <v>1.18</v>
      </c>
      <c r="V282" s="3">
        <v>0</v>
      </c>
    </row>
    <row r="283" spans="1:22" x14ac:dyDescent="0.3">
      <c r="A283" s="1">
        <v>282</v>
      </c>
      <c r="B283" s="94">
        <v>31.5090532</v>
      </c>
      <c r="C283" s="93">
        <v>275.79039999999998</v>
      </c>
      <c r="D283" s="3">
        <v>2</v>
      </c>
      <c r="E283" s="3">
        <v>203.2</v>
      </c>
      <c r="F283" s="3">
        <v>406.4</v>
      </c>
      <c r="G283" s="3">
        <v>346.202</v>
      </c>
      <c r="H283" s="3">
        <v>54.101999999999997</v>
      </c>
      <c r="I283" s="3">
        <v>25.4</v>
      </c>
      <c r="J283" s="101">
        <f t="shared" si="16"/>
        <v>1012.9011999999999</v>
      </c>
      <c r="K283">
        <f t="shared" si="17"/>
        <v>6.7304641350210987</v>
      </c>
      <c r="L283">
        <f t="shared" si="18"/>
        <v>1.2265624999999999E-2</v>
      </c>
      <c r="M283" s="3">
        <v>47.497999999999998</v>
      </c>
      <c r="N283" s="3">
        <v>0.127</v>
      </c>
      <c r="Q283" s="3">
        <v>1.4</v>
      </c>
      <c r="V283" s="3">
        <v>0</v>
      </c>
    </row>
    <row r="284" spans="1:22" x14ac:dyDescent="0.3">
      <c r="A284" s="1">
        <v>283</v>
      </c>
      <c r="B284" s="94">
        <v>27.372197199999999</v>
      </c>
      <c r="C284" s="93">
        <v>275.79039999999998</v>
      </c>
      <c r="D284" s="3">
        <v>4</v>
      </c>
      <c r="E284" s="3">
        <v>203.2</v>
      </c>
      <c r="F284" s="3">
        <v>406.4</v>
      </c>
      <c r="G284" s="3">
        <v>352.42500000000001</v>
      </c>
      <c r="H284" s="3">
        <v>28.574999999999999</v>
      </c>
      <c r="I284" s="3">
        <v>19.05</v>
      </c>
      <c r="J284" s="101">
        <f t="shared" si="16"/>
        <v>1139.5138500000003</v>
      </c>
      <c r="K284">
        <f t="shared" si="17"/>
        <v>8.4447529411764783</v>
      </c>
      <c r="L284">
        <f t="shared" si="18"/>
        <v>1.3798828125000004E-2</v>
      </c>
      <c r="M284" s="3">
        <v>44.449999999999996</v>
      </c>
      <c r="N284" s="3">
        <v>0.12191999999999999</v>
      </c>
      <c r="O284" s="10"/>
      <c r="P284" s="10"/>
      <c r="Q284" s="3">
        <v>1.54</v>
      </c>
      <c r="V284" s="3">
        <v>0</v>
      </c>
    </row>
    <row r="285" spans="1:22" x14ac:dyDescent="0.3">
      <c r="A285" s="1">
        <v>284</v>
      </c>
      <c r="B285" s="94">
        <v>29.785363199999999</v>
      </c>
      <c r="C285" s="93">
        <v>275.79039999999998</v>
      </c>
      <c r="D285" s="3">
        <v>8</v>
      </c>
      <c r="E285" s="3">
        <v>203.2</v>
      </c>
      <c r="F285" s="3">
        <v>406.4</v>
      </c>
      <c r="G285" s="3">
        <v>358.64799999999997</v>
      </c>
      <c r="H285" s="3">
        <v>15.0495</v>
      </c>
      <c r="I285" s="3">
        <v>12.7</v>
      </c>
      <c r="J285" s="101">
        <f t="shared" si="16"/>
        <v>1012.9011999999999</v>
      </c>
      <c r="K285">
        <f t="shared" si="17"/>
        <v>8.4846808510638265</v>
      </c>
      <c r="L285">
        <f t="shared" si="18"/>
        <v>1.2265624999999999E-2</v>
      </c>
      <c r="M285" s="3">
        <v>41.401999999999994</v>
      </c>
      <c r="N285" s="3">
        <v>0.10414</v>
      </c>
      <c r="O285" s="10"/>
      <c r="P285" s="10"/>
      <c r="Q285" s="3">
        <v>1.47</v>
      </c>
      <c r="V285" s="3">
        <v>0</v>
      </c>
    </row>
    <row r="286" spans="1:22" x14ac:dyDescent="0.3">
      <c r="A286" s="1">
        <v>285</v>
      </c>
      <c r="B286" s="94">
        <v>26.475878399999999</v>
      </c>
      <c r="C286" s="93">
        <v>275.79039999999998</v>
      </c>
      <c r="D286" s="3">
        <v>15</v>
      </c>
      <c r="E286" s="3">
        <v>203.2</v>
      </c>
      <c r="F286" s="3">
        <v>406.4</v>
      </c>
      <c r="G286" s="3">
        <v>362.01349999999996</v>
      </c>
      <c r="H286" s="3">
        <v>8.2634666666666661</v>
      </c>
      <c r="I286" s="3">
        <v>9.5250000000000004</v>
      </c>
      <c r="J286" s="101">
        <f t="shared" si="16"/>
        <v>1068.2942343750001</v>
      </c>
      <c r="K286">
        <f t="shared" si="17"/>
        <v>9.6271995708154492</v>
      </c>
      <c r="L286">
        <f t="shared" si="18"/>
        <v>1.2936401367187501E-2</v>
      </c>
      <c r="M286" s="3">
        <v>39.624000000000002</v>
      </c>
      <c r="N286" s="3">
        <v>0.11176</v>
      </c>
      <c r="O286" s="10"/>
      <c r="P286" s="10"/>
      <c r="Q286" s="3">
        <v>1.57</v>
      </c>
      <c r="V286" s="3">
        <v>0</v>
      </c>
    </row>
    <row r="287" spans="1:22" x14ac:dyDescent="0.3">
      <c r="A287" s="1">
        <v>286</v>
      </c>
      <c r="B287" s="94">
        <v>32.750109999999999</v>
      </c>
      <c r="C287" s="93">
        <v>275.79039999999998</v>
      </c>
      <c r="D287" s="3">
        <v>1</v>
      </c>
      <c r="E287" s="3">
        <v>203.2</v>
      </c>
      <c r="F287" s="3">
        <v>406.4</v>
      </c>
      <c r="G287" s="3">
        <v>346.202</v>
      </c>
      <c r="H287" s="3">
        <v>108.20399999999999</v>
      </c>
      <c r="I287" s="3">
        <v>25.4</v>
      </c>
      <c r="J287" s="101">
        <f t="shared" si="16"/>
        <v>506.45059999999995</v>
      </c>
      <c r="K287">
        <f t="shared" si="17"/>
        <v>3.3652320675105494</v>
      </c>
      <c r="L287">
        <f t="shared" si="18"/>
        <v>6.1328124999999994E-3</v>
      </c>
      <c r="M287" s="3">
        <v>47.497999999999998</v>
      </c>
      <c r="N287" s="3">
        <v>0.15747999999999998</v>
      </c>
      <c r="O287" s="10"/>
      <c r="P287" s="10"/>
      <c r="Q287" s="3">
        <v>0.7</v>
      </c>
      <c r="V287" s="3">
        <v>0</v>
      </c>
    </row>
    <row r="288" spans="1:22" x14ac:dyDescent="0.3">
      <c r="A288" s="1">
        <v>287</v>
      </c>
      <c r="B288" s="94">
        <v>27.165354399999998</v>
      </c>
      <c r="C288" s="93">
        <v>275.79039999999998</v>
      </c>
      <c r="D288" s="3">
        <v>2</v>
      </c>
      <c r="E288" s="3">
        <v>203.2</v>
      </c>
      <c r="F288" s="3">
        <v>406.4</v>
      </c>
      <c r="G288" s="3">
        <v>352.42500000000001</v>
      </c>
      <c r="H288" s="3">
        <v>57.15</v>
      </c>
      <c r="I288" s="3">
        <v>19.05</v>
      </c>
      <c r="J288" s="101">
        <f t="shared" si="16"/>
        <v>569.75692500000014</v>
      </c>
      <c r="K288">
        <f t="shared" si="17"/>
        <v>4.2223764705882392</v>
      </c>
      <c r="L288">
        <f t="shared" si="18"/>
        <v>6.8994140625000021E-3</v>
      </c>
      <c r="M288" s="3">
        <v>44.449999999999996</v>
      </c>
      <c r="N288" s="3">
        <v>0.11176</v>
      </c>
      <c r="O288" s="10"/>
      <c r="P288" s="10"/>
      <c r="Q288" s="3">
        <v>0.77</v>
      </c>
      <c r="V288" s="3">
        <v>0</v>
      </c>
    </row>
    <row r="289" spans="1:22" x14ac:dyDescent="0.3">
      <c r="A289" s="1">
        <v>288</v>
      </c>
      <c r="B289" s="94">
        <v>27.6479876</v>
      </c>
      <c r="C289" s="93">
        <v>275.79039999999998</v>
      </c>
      <c r="D289" s="3">
        <v>4</v>
      </c>
      <c r="E289" s="3">
        <v>203.2</v>
      </c>
      <c r="F289" s="3">
        <v>406.4</v>
      </c>
      <c r="G289" s="3">
        <v>358.64799999999997</v>
      </c>
      <c r="H289" s="3">
        <v>30.099</v>
      </c>
      <c r="I289" s="3">
        <v>12.7</v>
      </c>
      <c r="J289" s="101">
        <f t="shared" si="16"/>
        <v>506.45059999999995</v>
      </c>
      <c r="K289">
        <f t="shared" si="17"/>
        <v>4.2423404255319133</v>
      </c>
      <c r="L289">
        <f t="shared" si="18"/>
        <v>6.1328124999999994E-3</v>
      </c>
      <c r="M289" s="3">
        <v>41.401999999999994</v>
      </c>
      <c r="N289" s="3">
        <v>0.12445999999999999</v>
      </c>
      <c r="O289" s="10"/>
      <c r="P289" s="10"/>
      <c r="Q289" s="3">
        <v>0.73</v>
      </c>
      <c r="V289" s="3">
        <v>0</v>
      </c>
    </row>
    <row r="290" spans="1:22" x14ac:dyDescent="0.3">
      <c r="A290" s="1">
        <v>289</v>
      </c>
      <c r="B290" s="94">
        <v>25.510611999999998</v>
      </c>
      <c r="C290" s="93">
        <v>275.79039999999998</v>
      </c>
      <c r="D290" s="3">
        <v>4</v>
      </c>
      <c r="E290" s="3">
        <v>203.2</v>
      </c>
      <c r="F290" s="3">
        <v>406.4</v>
      </c>
      <c r="G290" s="3">
        <v>346.202</v>
      </c>
      <c r="H290" s="3">
        <v>27.050999999999998</v>
      </c>
      <c r="I290" s="3">
        <v>25.4</v>
      </c>
      <c r="J290" s="101">
        <f t="shared" si="16"/>
        <v>2025.8023999999998</v>
      </c>
      <c r="K290">
        <f t="shared" si="17"/>
        <v>13.460928270042197</v>
      </c>
      <c r="L290">
        <f t="shared" si="18"/>
        <v>2.4531249999999998E-2</v>
      </c>
      <c r="M290" s="3">
        <v>47.497999999999998</v>
      </c>
      <c r="N290" s="3">
        <v>0.15747999999999998</v>
      </c>
      <c r="O290" s="10"/>
      <c r="P290" s="10"/>
      <c r="Q290" s="3">
        <v>3.02</v>
      </c>
      <c r="V290" s="3">
        <v>0</v>
      </c>
    </row>
    <row r="291" spans="1:22" x14ac:dyDescent="0.3">
      <c r="A291" s="1">
        <v>290</v>
      </c>
      <c r="B291" s="94">
        <v>30.819577199999998</v>
      </c>
      <c r="C291" s="93">
        <v>275.79039999999998</v>
      </c>
      <c r="D291" s="3">
        <v>8</v>
      </c>
      <c r="E291" s="3">
        <v>203.2</v>
      </c>
      <c r="F291" s="3">
        <v>406.4</v>
      </c>
      <c r="G291" s="3">
        <v>352.42500000000001</v>
      </c>
      <c r="H291" s="3">
        <v>14.2875</v>
      </c>
      <c r="I291" s="3">
        <v>19.05</v>
      </c>
      <c r="J291" s="101">
        <f t="shared" si="16"/>
        <v>2279.0277000000006</v>
      </c>
      <c r="K291">
        <f t="shared" si="17"/>
        <v>16.889505882352957</v>
      </c>
      <c r="L291">
        <f t="shared" si="18"/>
        <v>2.7597656250000008E-2</v>
      </c>
      <c r="M291" s="3">
        <v>44.449999999999996</v>
      </c>
      <c r="N291" s="3">
        <v>0.15240000000000001</v>
      </c>
      <c r="O291" s="10"/>
      <c r="P291" s="10"/>
      <c r="Q291" s="3">
        <v>3.28</v>
      </c>
      <c r="V291" s="3">
        <v>0</v>
      </c>
    </row>
    <row r="292" spans="1:22" x14ac:dyDescent="0.3">
      <c r="A292" s="1">
        <v>291</v>
      </c>
      <c r="B292" s="94">
        <v>48.539110399999998</v>
      </c>
      <c r="C292" s="93">
        <v>275.79039999999998</v>
      </c>
      <c r="D292" s="3">
        <v>2</v>
      </c>
      <c r="E292" s="3">
        <v>203.2</v>
      </c>
      <c r="F292" s="3">
        <v>406.4</v>
      </c>
      <c r="G292" s="3">
        <v>346.202</v>
      </c>
      <c r="H292" s="3">
        <v>54.101999999999997</v>
      </c>
      <c r="I292" s="3">
        <v>25.4</v>
      </c>
      <c r="J292" s="101">
        <f t="shared" si="16"/>
        <v>1012.9011999999999</v>
      </c>
      <c r="K292">
        <f t="shared" si="17"/>
        <v>6.7304641350210987</v>
      </c>
      <c r="L292">
        <f t="shared" si="18"/>
        <v>1.2265624999999999E-2</v>
      </c>
      <c r="M292" s="3">
        <v>47.497999999999998</v>
      </c>
      <c r="N292" s="3">
        <v>0.13207999999999998</v>
      </c>
      <c r="O292" s="10"/>
      <c r="P292" s="10"/>
      <c r="Q292" s="3">
        <v>1.4</v>
      </c>
      <c r="V292" s="3">
        <v>0</v>
      </c>
    </row>
    <row r="293" spans="1:22" x14ac:dyDescent="0.3">
      <c r="A293" s="1">
        <v>292</v>
      </c>
      <c r="B293" s="94">
        <v>49.918062399999997</v>
      </c>
      <c r="C293" s="93">
        <v>275.79039999999998</v>
      </c>
      <c r="D293" s="3">
        <v>4</v>
      </c>
      <c r="E293" s="3">
        <v>203.2</v>
      </c>
      <c r="F293" s="3">
        <v>406.4</v>
      </c>
      <c r="G293" s="3">
        <v>352.42500000000001</v>
      </c>
      <c r="H293" s="3">
        <v>28.574999999999999</v>
      </c>
      <c r="I293" s="3">
        <v>19.05</v>
      </c>
      <c r="J293" s="101">
        <f t="shared" si="16"/>
        <v>1139.5138500000003</v>
      </c>
      <c r="K293">
        <f t="shared" si="17"/>
        <v>8.4447529411764783</v>
      </c>
      <c r="L293">
        <f t="shared" si="18"/>
        <v>1.3798828125000004E-2</v>
      </c>
      <c r="M293" s="3">
        <v>44.449999999999996</v>
      </c>
      <c r="N293" s="3">
        <v>0.17018</v>
      </c>
      <c r="O293" s="10"/>
      <c r="P293" s="10"/>
      <c r="Q293" s="3">
        <v>1.54</v>
      </c>
      <c r="V293" s="3">
        <v>0</v>
      </c>
    </row>
    <row r="294" spans="1:22" x14ac:dyDescent="0.3">
      <c r="A294" s="1">
        <v>293</v>
      </c>
      <c r="B294" s="94">
        <v>48.745953199999995</v>
      </c>
      <c r="C294" s="93">
        <v>275.79039999999998</v>
      </c>
      <c r="D294" s="3">
        <v>8</v>
      </c>
      <c r="E294" s="3">
        <v>203.2</v>
      </c>
      <c r="F294" s="3">
        <v>406.4</v>
      </c>
      <c r="G294" s="3">
        <v>358.64799999999997</v>
      </c>
      <c r="H294" s="3">
        <v>15.0495</v>
      </c>
      <c r="I294" s="3">
        <v>12.7</v>
      </c>
      <c r="J294" s="101">
        <f t="shared" si="16"/>
        <v>1012.9011999999999</v>
      </c>
      <c r="K294">
        <f t="shared" si="17"/>
        <v>8.4846808510638265</v>
      </c>
      <c r="L294">
        <f t="shared" si="18"/>
        <v>1.2265624999999999E-2</v>
      </c>
      <c r="M294" s="3">
        <v>41.401999999999994</v>
      </c>
      <c r="N294" s="3">
        <v>0.12191999999999999</v>
      </c>
      <c r="O294" s="10"/>
      <c r="P294" s="10"/>
      <c r="Q294" s="3">
        <v>1.47</v>
      </c>
      <c r="V294" s="3">
        <v>0</v>
      </c>
    </row>
    <row r="295" spans="1:22" x14ac:dyDescent="0.3">
      <c r="A295" s="1">
        <v>294</v>
      </c>
      <c r="B295" s="94">
        <v>46.7809466</v>
      </c>
      <c r="C295" s="93">
        <v>275.79039999999998</v>
      </c>
      <c r="D295" s="3">
        <v>15</v>
      </c>
      <c r="E295" s="3">
        <v>203.2</v>
      </c>
      <c r="F295" s="3">
        <v>406.4</v>
      </c>
      <c r="G295" s="3">
        <v>362.01349999999996</v>
      </c>
      <c r="H295" s="3">
        <v>8.2634666666666661</v>
      </c>
      <c r="I295" s="3">
        <v>9.5250000000000004</v>
      </c>
      <c r="J295" s="101">
        <f t="shared" si="16"/>
        <v>1068.2942343750001</v>
      </c>
      <c r="K295">
        <f t="shared" si="17"/>
        <v>9.6271995708154492</v>
      </c>
      <c r="L295">
        <f t="shared" si="18"/>
        <v>1.2936401367187501E-2</v>
      </c>
      <c r="M295" s="3">
        <v>39.624000000000002</v>
      </c>
      <c r="N295" s="3">
        <v>0.11938</v>
      </c>
      <c r="O295" s="10"/>
      <c r="P295" s="10"/>
      <c r="Q295" s="3">
        <v>1.57</v>
      </c>
      <c r="V295" s="3">
        <v>0</v>
      </c>
    </row>
    <row r="296" spans="1:22" x14ac:dyDescent="0.3">
      <c r="A296" s="1">
        <v>295</v>
      </c>
      <c r="B296" s="94">
        <v>32.612214799999997</v>
      </c>
      <c r="C296" s="93">
        <v>275.79039999999998</v>
      </c>
      <c r="D296" s="3">
        <v>12</v>
      </c>
      <c r="E296" s="3">
        <v>203.2</v>
      </c>
      <c r="F296" s="3">
        <v>406.4</v>
      </c>
      <c r="G296" s="3">
        <v>374.65</v>
      </c>
      <c r="H296" s="3">
        <v>12.699999999999998</v>
      </c>
      <c r="I296" s="3">
        <v>12.7</v>
      </c>
      <c r="J296" s="101">
        <f t="shared" si="16"/>
        <v>1519.3517999999997</v>
      </c>
      <c r="K296">
        <f t="shared" si="17"/>
        <v>19.141439999999996</v>
      </c>
      <c r="L296">
        <f t="shared" si="18"/>
        <v>1.8398437499999996E-2</v>
      </c>
      <c r="M296" s="3">
        <v>25.4</v>
      </c>
      <c r="N296" s="3">
        <v>0.14731999999999998</v>
      </c>
      <c r="O296" s="10"/>
      <c r="P296" s="10"/>
      <c r="Q296" s="3">
        <v>1.47</v>
      </c>
      <c r="V296" s="3">
        <v>0</v>
      </c>
    </row>
    <row r="297" spans="1:22" x14ac:dyDescent="0.3">
      <c r="A297" s="1">
        <v>296</v>
      </c>
      <c r="B297" s="94">
        <v>30.9574724</v>
      </c>
      <c r="C297" s="93">
        <v>275.79039999999998</v>
      </c>
      <c r="D297" s="3">
        <v>8</v>
      </c>
      <c r="E297" s="3">
        <v>203.2</v>
      </c>
      <c r="F297" s="3">
        <v>406.4</v>
      </c>
      <c r="G297" s="3">
        <v>374.65</v>
      </c>
      <c r="H297" s="3">
        <v>19.049999999999997</v>
      </c>
      <c r="I297" s="3">
        <v>12.7</v>
      </c>
      <c r="J297" s="101">
        <f t="shared" si="16"/>
        <v>1012.9011999999999</v>
      </c>
      <c r="K297">
        <f t="shared" si="17"/>
        <v>12.760959999999999</v>
      </c>
      <c r="L297">
        <f t="shared" si="18"/>
        <v>1.2265624999999999E-2</v>
      </c>
      <c r="M297" s="3">
        <v>25.4</v>
      </c>
      <c r="N297" s="3">
        <v>8.6359999999999992E-2</v>
      </c>
      <c r="O297" s="10"/>
      <c r="P297" s="10"/>
      <c r="Q297" s="3">
        <v>1.47</v>
      </c>
      <c r="V297" s="3">
        <v>0</v>
      </c>
    </row>
    <row r="298" spans="1:22" x14ac:dyDescent="0.3">
      <c r="A298" s="1">
        <v>297</v>
      </c>
      <c r="B298" s="94">
        <v>30.543786799999999</v>
      </c>
      <c r="C298" s="93">
        <v>275.79039999999998</v>
      </c>
      <c r="D298" s="3">
        <v>6</v>
      </c>
      <c r="E298" s="3">
        <v>203.2</v>
      </c>
      <c r="F298" s="3">
        <v>406.4</v>
      </c>
      <c r="G298" s="3">
        <v>374.65</v>
      </c>
      <c r="H298" s="3">
        <v>25.399999999999995</v>
      </c>
      <c r="I298" s="3">
        <v>12.7</v>
      </c>
      <c r="J298" s="101">
        <f t="shared" si="16"/>
        <v>759.67589999999984</v>
      </c>
      <c r="K298">
        <f t="shared" si="17"/>
        <v>9.5707199999999979</v>
      </c>
      <c r="L298">
        <f t="shared" si="18"/>
        <v>9.1992187499999982E-3</v>
      </c>
      <c r="M298" s="3">
        <v>25.4</v>
      </c>
      <c r="N298" s="3">
        <v>0.15240000000000001</v>
      </c>
      <c r="O298" s="10"/>
      <c r="P298" s="10"/>
      <c r="Q298" s="3">
        <v>1.47</v>
      </c>
      <c r="V298" s="3">
        <v>0</v>
      </c>
    </row>
    <row r="299" spans="1:22" x14ac:dyDescent="0.3">
      <c r="A299" s="1">
        <v>298</v>
      </c>
      <c r="B299" s="94">
        <v>40.472241199999999</v>
      </c>
      <c r="C299" s="93">
        <v>275.79039999999998</v>
      </c>
      <c r="D299" s="3">
        <v>4</v>
      </c>
      <c r="E299" s="3">
        <v>203.2</v>
      </c>
      <c r="F299" s="3">
        <v>406.4</v>
      </c>
      <c r="G299" s="3">
        <v>374.65</v>
      </c>
      <c r="H299" s="3">
        <v>38.099999999999994</v>
      </c>
      <c r="I299" s="3">
        <v>12.7</v>
      </c>
      <c r="J299" s="101">
        <f t="shared" si="16"/>
        <v>506.45059999999995</v>
      </c>
      <c r="K299">
        <f t="shared" si="17"/>
        <v>6.3804799999999995</v>
      </c>
      <c r="L299">
        <f t="shared" si="18"/>
        <v>6.1328124999999994E-3</v>
      </c>
      <c r="M299" s="3">
        <v>25.4</v>
      </c>
      <c r="N299" s="3">
        <v>9.9059999999999995E-2</v>
      </c>
      <c r="O299" s="10"/>
      <c r="P299" s="10"/>
      <c r="Q299" s="3">
        <v>1.47</v>
      </c>
      <c r="V299" s="3">
        <v>0</v>
      </c>
    </row>
    <row r="300" spans="1:22" x14ac:dyDescent="0.3">
      <c r="A300" s="1">
        <v>299</v>
      </c>
      <c r="B300" s="94">
        <v>29.785363199999999</v>
      </c>
      <c r="C300" s="93">
        <v>275.79039999999998</v>
      </c>
      <c r="D300" s="3">
        <v>6</v>
      </c>
      <c r="E300" s="3">
        <v>203.2</v>
      </c>
      <c r="F300" s="3">
        <v>406.4</v>
      </c>
      <c r="G300" s="3">
        <v>352.42500000000001</v>
      </c>
      <c r="H300" s="3">
        <v>19.05</v>
      </c>
      <c r="I300" s="3">
        <v>19.05</v>
      </c>
      <c r="J300" s="101">
        <f t="shared" si="16"/>
        <v>1709.270775</v>
      </c>
      <c r="K300">
        <f t="shared" si="17"/>
        <v>12.667129411764714</v>
      </c>
      <c r="L300">
        <f t="shared" si="18"/>
        <v>2.06982421875E-2</v>
      </c>
      <c r="M300" s="3">
        <v>44.449999999999996</v>
      </c>
      <c r="N300" s="3">
        <v>0.13969999999999999</v>
      </c>
      <c r="O300" s="10"/>
      <c r="P300" s="10"/>
      <c r="Q300" s="3">
        <v>1.54</v>
      </c>
      <c r="V300" s="3">
        <v>0</v>
      </c>
    </row>
    <row r="301" spans="1:22" x14ac:dyDescent="0.3">
      <c r="A301" s="1">
        <v>300</v>
      </c>
      <c r="B301" s="94">
        <v>30.7506296</v>
      </c>
      <c r="C301" s="93">
        <v>275.79039999999998</v>
      </c>
      <c r="D301" s="3">
        <v>4</v>
      </c>
      <c r="E301" s="3">
        <v>203.2</v>
      </c>
      <c r="F301" s="3">
        <v>406.4</v>
      </c>
      <c r="G301" s="3">
        <v>352.42500000000001</v>
      </c>
      <c r="H301" s="3">
        <v>28.574999999999999</v>
      </c>
      <c r="I301" s="3">
        <v>19.05</v>
      </c>
      <c r="J301" s="101">
        <f t="shared" si="16"/>
        <v>1139.5138500000003</v>
      </c>
      <c r="K301">
        <f t="shared" si="17"/>
        <v>8.4447529411764783</v>
      </c>
      <c r="L301">
        <f t="shared" si="18"/>
        <v>1.3798828125000004E-2</v>
      </c>
      <c r="M301" s="3">
        <v>44.449999999999996</v>
      </c>
      <c r="N301" s="3">
        <v>0.14731999999999998</v>
      </c>
      <c r="O301" s="10"/>
      <c r="P301" s="10"/>
      <c r="Q301" s="3">
        <v>1.54</v>
      </c>
      <c r="V301" s="3">
        <v>0</v>
      </c>
    </row>
    <row r="302" spans="1:22" x14ac:dyDescent="0.3">
      <c r="A302" s="1">
        <v>301</v>
      </c>
      <c r="B302" s="94">
        <v>30.543786799999999</v>
      </c>
      <c r="C302" s="93">
        <v>275.79039999999998</v>
      </c>
      <c r="D302" s="3">
        <v>3</v>
      </c>
      <c r="E302" s="3">
        <v>203.2</v>
      </c>
      <c r="F302" s="3">
        <v>406.4</v>
      </c>
      <c r="G302" s="3">
        <v>352.42500000000001</v>
      </c>
      <c r="H302" s="3">
        <v>38.1</v>
      </c>
      <c r="I302" s="3">
        <v>19.05</v>
      </c>
      <c r="J302" s="101">
        <f t="shared" si="16"/>
        <v>854.63538749999998</v>
      </c>
      <c r="K302">
        <f t="shared" si="17"/>
        <v>6.333564705882357</v>
      </c>
      <c r="L302">
        <f t="shared" si="18"/>
        <v>1.034912109375E-2</v>
      </c>
      <c r="M302" s="3">
        <v>44.449999999999996</v>
      </c>
      <c r="N302" s="3">
        <v>8.3819999999999992E-2</v>
      </c>
      <c r="O302" s="10"/>
      <c r="P302" s="10"/>
      <c r="Q302" s="3">
        <v>1.61</v>
      </c>
      <c r="V302" s="3">
        <v>0</v>
      </c>
    </row>
    <row r="303" spans="1:22" x14ac:dyDescent="0.3">
      <c r="A303" s="1">
        <v>302</v>
      </c>
      <c r="B303" s="94">
        <v>28.3374636</v>
      </c>
      <c r="C303" s="93">
        <v>275.79039999999998</v>
      </c>
      <c r="D303" s="3">
        <v>2</v>
      </c>
      <c r="E303" s="3">
        <v>304.79999999999995</v>
      </c>
      <c r="F303" s="3">
        <v>406.4</v>
      </c>
      <c r="G303" s="3">
        <v>352.42500000000001</v>
      </c>
      <c r="H303" s="3">
        <v>107.94999999999999</v>
      </c>
      <c r="I303" s="3">
        <v>19.05</v>
      </c>
      <c r="J303" s="101">
        <f t="shared" si="16"/>
        <v>569.75692500000014</v>
      </c>
      <c r="K303">
        <f t="shared" si="17"/>
        <v>4.2223764705882392</v>
      </c>
      <c r="L303">
        <f t="shared" si="18"/>
        <v>4.5996093750000026E-3</v>
      </c>
      <c r="M303" s="3">
        <v>44.449999999999996</v>
      </c>
      <c r="N303" s="3">
        <v>0.10667999999999998</v>
      </c>
      <c r="O303" s="10"/>
      <c r="P303" s="10"/>
      <c r="Q303" s="3">
        <v>1.76</v>
      </c>
      <c r="V303" s="3">
        <v>0</v>
      </c>
    </row>
    <row r="304" spans="1:22" x14ac:dyDescent="0.3">
      <c r="A304" s="1">
        <v>303</v>
      </c>
      <c r="B304" s="94">
        <v>27.7858828</v>
      </c>
      <c r="C304" s="93">
        <v>275.79039999999998</v>
      </c>
      <c r="D304" s="3">
        <v>2</v>
      </c>
      <c r="E304" s="3">
        <v>203.2</v>
      </c>
      <c r="F304" s="3">
        <v>406.4</v>
      </c>
      <c r="G304" s="3">
        <v>349.30099999999999</v>
      </c>
      <c r="H304" s="3">
        <v>55.625999999999998</v>
      </c>
      <c r="I304" s="3">
        <v>22.25</v>
      </c>
      <c r="J304" s="101">
        <f t="shared" si="16"/>
        <v>777.24812500000007</v>
      </c>
      <c r="K304">
        <f t="shared" si="17"/>
        <v>5.4449158479132747</v>
      </c>
      <c r="L304">
        <f t="shared" si="18"/>
        <v>9.4120078376875513E-3</v>
      </c>
      <c r="M304" s="3">
        <v>45.973999999999997</v>
      </c>
      <c r="N304" s="3">
        <v>0.127</v>
      </c>
      <c r="O304" s="10"/>
      <c r="P304" s="10"/>
      <c r="Q304" s="3">
        <v>0.99</v>
      </c>
      <c r="V304" s="3">
        <v>0</v>
      </c>
    </row>
    <row r="305" spans="1:22" x14ac:dyDescent="0.3">
      <c r="A305" s="1">
        <v>304</v>
      </c>
      <c r="B305" s="94">
        <v>27.7858828</v>
      </c>
      <c r="C305" s="93">
        <v>275.79039999999998</v>
      </c>
      <c r="D305" s="3">
        <v>2</v>
      </c>
      <c r="E305" s="3">
        <v>203.2</v>
      </c>
      <c r="F305" s="3">
        <v>406.4</v>
      </c>
      <c r="G305" s="3">
        <v>349.30099999999999</v>
      </c>
      <c r="H305" s="3">
        <v>55.625999999999998</v>
      </c>
      <c r="I305" s="3">
        <v>22.25</v>
      </c>
      <c r="J305" s="101">
        <f t="shared" si="16"/>
        <v>777.24812500000007</v>
      </c>
      <c r="K305">
        <f t="shared" si="17"/>
        <v>5.4449158479132747</v>
      </c>
      <c r="L305">
        <f t="shared" si="18"/>
        <v>9.4120078376875513E-3</v>
      </c>
      <c r="M305" s="3">
        <v>45.973999999999997</v>
      </c>
      <c r="N305" s="3">
        <v>0.11429999999999998</v>
      </c>
      <c r="O305" s="10"/>
      <c r="P305" s="10"/>
      <c r="Q305" s="3">
        <v>0.99</v>
      </c>
      <c r="V305" s="3">
        <v>0</v>
      </c>
    </row>
    <row r="306" spans="1:22" x14ac:dyDescent="0.3">
      <c r="A306" s="1">
        <v>305</v>
      </c>
      <c r="B306" s="94">
        <v>20.960070399999999</v>
      </c>
      <c r="C306" s="93">
        <v>275.79039999999998</v>
      </c>
      <c r="D306" s="3">
        <v>2</v>
      </c>
      <c r="E306" s="3">
        <v>152.39999999999998</v>
      </c>
      <c r="F306" s="3">
        <v>406.4</v>
      </c>
      <c r="G306" s="3">
        <v>349.30099999999999</v>
      </c>
      <c r="H306" s="3">
        <v>30.225999999999992</v>
      </c>
      <c r="I306" s="3">
        <v>22.25</v>
      </c>
      <c r="J306" s="101">
        <f t="shared" si="16"/>
        <v>777.24812500000007</v>
      </c>
      <c r="K306">
        <f t="shared" si="17"/>
        <v>5.4449158479132747</v>
      </c>
      <c r="L306">
        <f t="shared" si="18"/>
        <v>1.2549343783583404E-2</v>
      </c>
      <c r="M306" s="3">
        <v>45.973999999999997</v>
      </c>
      <c r="N306" s="3">
        <v>0.10667999999999998</v>
      </c>
      <c r="O306" s="10"/>
      <c r="P306" s="10"/>
      <c r="Q306" s="3">
        <v>1.06</v>
      </c>
      <c r="V306" s="3">
        <v>0</v>
      </c>
    </row>
    <row r="307" spans="1:22" x14ac:dyDescent="0.3">
      <c r="A307" s="1">
        <v>306</v>
      </c>
      <c r="B307" s="94">
        <v>20.960070399999999</v>
      </c>
      <c r="C307" s="93">
        <v>275.79039999999998</v>
      </c>
      <c r="D307" s="3">
        <v>2</v>
      </c>
      <c r="E307" s="3">
        <v>152.39999999999998</v>
      </c>
      <c r="F307" s="3">
        <v>406.4</v>
      </c>
      <c r="G307" s="3">
        <v>349.30099999999999</v>
      </c>
      <c r="H307" s="3">
        <v>30.225999999999992</v>
      </c>
      <c r="I307" s="3">
        <v>22.25</v>
      </c>
      <c r="J307" s="101">
        <f t="shared" si="16"/>
        <v>777.24812500000007</v>
      </c>
      <c r="K307">
        <f t="shared" si="17"/>
        <v>5.4449158479132747</v>
      </c>
      <c r="L307">
        <f t="shared" si="18"/>
        <v>1.2549343783583404E-2</v>
      </c>
      <c r="M307" s="3">
        <v>45.973999999999997</v>
      </c>
      <c r="N307" s="3">
        <v>0.14731999999999998</v>
      </c>
      <c r="O307" s="10"/>
      <c r="P307" s="10"/>
      <c r="Q307" s="3">
        <v>1.06</v>
      </c>
      <c r="V307" s="3">
        <v>0</v>
      </c>
    </row>
    <row r="308" spans="1:22" x14ac:dyDescent="0.3">
      <c r="A308" s="1">
        <v>307</v>
      </c>
      <c r="B308" s="94">
        <v>25.096926400000001</v>
      </c>
      <c r="C308" s="93">
        <v>275.79039999999998</v>
      </c>
      <c r="D308" s="3">
        <v>2</v>
      </c>
      <c r="E308" s="3">
        <v>101.6</v>
      </c>
      <c r="F308" s="3">
        <v>406.4</v>
      </c>
      <c r="G308" s="3">
        <v>349.30099999999999</v>
      </c>
      <c r="H308" s="3">
        <v>4.8260000000000005</v>
      </c>
      <c r="I308" s="3">
        <v>22.25</v>
      </c>
      <c r="J308" s="101">
        <f t="shared" si="16"/>
        <v>777.24812500000007</v>
      </c>
      <c r="K308">
        <f t="shared" si="17"/>
        <v>5.4449158479132747</v>
      </c>
      <c r="L308">
        <f t="shared" si="18"/>
        <v>1.8824015675375103E-2</v>
      </c>
      <c r="M308" s="3">
        <v>45.973999999999997</v>
      </c>
      <c r="N308" s="3">
        <v>0.1651</v>
      </c>
      <c r="O308" s="10"/>
      <c r="P308" s="10"/>
      <c r="Q308" s="3">
        <v>1.18</v>
      </c>
      <c r="V308" s="3">
        <v>0</v>
      </c>
    </row>
    <row r="309" spans="1:22" x14ac:dyDescent="0.3">
      <c r="A309" s="1">
        <v>308</v>
      </c>
      <c r="B309" s="94">
        <v>25.096926400000001</v>
      </c>
      <c r="C309" s="93">
        <v>275.79039999999998</v>
      </c>
      <c r="D309" s="3">
        <v>2</v>
      </c>
      <c r="E309" s="3">
        <v>203.2</v>
      </c>
      <c r="F309" s="3">
        <v>609.59999999999991</v>
      </c>
      <c r="G309" s="3">
        <v>552.50099999999986</v>
      </c>
      <c r="H309" s="3">
        <v>55.625999999999998</v>
      </c>
      <c r="I309" s="3">
        <v>22.25</v>
      </c>
      <c r="J309" s="101">
        <f t="shared" si="16"/>
        <v>777.24812500000007</v>
      </c>
      <c r="K309">
        <f t="shared" si="17"/>
        <v>5.4449158479132693</v>
      </c>
      <c r="L309">
        <f t="shared" si="18"/>
        <v>6.274671891791702E-3</v>
      </c>
      <c r="M309" s="3">
        <v>45.973999999999997</v>
      </c>
      <c r="N309" s="3">
        <v>0.127</v>
      </c>
      <c r="O309" s="10"/>
      <c r="P309" s="10"/>
      <c r="Q309" s="3">
        <v>1.34</v>
      </c>
      <c r="V309" s="3">
        <v>0</v>
      </c>
    </row>
    <row r="310" spans="1:22" x14ac:dyDescent="0.3">
      <c r="A310" s="1">
        <v>309</v>
      </c>
      <c r="B310" s="94">
        <v>30.061153599999997</v>
      </c>
      <c r="C310" s="93">
        <v>275.79039999999998</v>
      </c>
      <c r="D310" s="3">
        <v>2</v>
      </c>
      <c r="E310" s="3">
        <v>203.2</v>
      </c>
      <c r="F310" s="3">
        <v>406.4</v>
      </c>
      <c r="G310" s="3">
        <v>374.70099999999996</v>
      </c>
      <c r="H310" s="3">
        <v>81.025999999999996</v>
      </c>
      <c r="I310" s="3">
        <v>22.25</v>
      </c>
      <c r="J310" s="101">
        <f t="shared" si="16"/>
        <v>777.24812500000007</v>
      </c>
      <c r="K310">
        <f t="shared" si="17"/>
        <v>9.8078567147228597</v>
      </c>
      <c r="L310">
        <f t="shared" si="18"/>
        <v>9.4120078376875513E-3</v>
      </c>
      <c r="M310" s="3">
        <v>20.574000000000002</v>
      </c>
      <c r="N310" s="3">
        <v>8.8899999999999993E-2</v>
      </c>
      <c r="O310" s="10"/>
      <c r="P310" s="10"/>
      <c r="Q310" s="3">
        <v>1.06</v>
      </c>
      <c r="V310" s="3">
        <v>0</v>
      </c>
    </row>
    <row r="311" spans="1:22" x14ac:dyDescent="0.3">
      <c r="A311" s="1">
        <v>310</v>
      </c>
      <c r="B311" s="94">
        <v>30.061153599999997</v>
      </c>
      <c r="C311" s="93">
        <v>275.79039999999998</v>
      </c>
      <c r="D311" s="3">
        <v>2</v>
      </c>
      <c r="E311" s="3">
        <v>203.2</v>
      </c>
      <c r="F311" s="3">
        <v>406.4</v>
      </c>
      <c r="G311" s="3">
        <v>349.30099999999999</v>
      </c>
      <c r="H311" s="3">
        <v>55.625999999999998</v>
      </c>
      <c r="I311" s="3">
        <v>22.25</v>
      </c>
      <c r="J311" s="101">
        <f t="shared" si="16"/>
        <v>777.24812500000007</v>
      </c>
      <c r="K311">
        <f t="shared" si="17"/>
        <v>5.4449158479132747</v>
      </c>
      <c r="L311">
        <f t="shared" si="18"/>
        <v>9.4120078376875513E-3</v>
      </c>
      <c r="M311" s="3">
        <v>45.973999999999997</v>
      </c>
      <c r="N311" s="3">
        <v>0.19303999999999999</v>
      </c>
      <c r="O311" s="10"/>
      <c r="P311" s="10"/>
      <c r="Q311" s="3">
        <v>1.06</v>
      </c>
      <c r="V311" s="3">
        <v>0</v>
      </c>
    </row>
    <row r="312" spans="1:22" x14ac:dyDescent="0.3">
      <c r="A312" s="1">
        <v>311</v>
      </c>
      <c r="B312" s="94">
        <v>30.061153599999997</v>
      </c>
      <c r="C312" s="93">
        <v>275.79039999999998</v>
      </c>
      <c r="D312" s="3">
        <v>2</v>
      </c>
      <c r="E312" s="3">
        <v>203.2</v>
      </c>
      <c r="F312" s="3">
        <v>304.79999999999995</v>
      </c>
      <c r="G312" s="3">
        <v>209.60099999999994</v>
      </c>
      <c r="H312" s="3">
        <v>17.525999999999996</v>
      </c>
      <c r="I312" s="3">
        <v>22.25</v>
      </c>
      <c r="J312" s="101">
        <f t="shared" si="16"/>
        <v>777.24812500000007</v>
      </c>
      <c r="K312">
        <f t="shared" si="17"/>
        <v>3.2657827288101764</v>
      </c>
      <c r="L312">
        <f t="shared" si="18"/>
        <v>1.2549343783583404E-2</v>
      </c>
      <c r="M312" s="3">
        <v>84.073999999999998</v>
      </c>
      <c r="N312" s="3">
        <v>0.15240000000000001</v>
      </c>
      <c r="O312" s="10"/>
      <c r="P312" s="10"/>
      <c r="Q312" s="3">
        <v>1.06</v>
      </c>
      <c r="V312" s="3">
        <v>0</v>
      </c>
    </row>
    <row r="313" spans="1:22" x14ac:dyDescent="0.3">
      <c r="A313" s="1">
        <v>312</v>
      </c>
      <c r="B313" s="94">
        <v>30.061153599999997</v>
      </c>
      <c r="C313" s="93">
        <v>275.79039999999998</v>
      </c>
      <c r="D313" s="3">
        <v>2</v>
      </c>
      <c r="E313" s="3">
        <v>203.2</v>
      </c>
      <c r="F313" s="3">
        <v>304.79999999999995</v>
      </c>
      <c r="G313" s="3">
        <v>247.70099999999996</v>
      </c>
      <c r="H313" s="3">
        <v>55.625999999999998</v>
      </c>
      <c r="I313" s="3">
        <v>22.25</v>
      </c>
      <c r="J313" s="101">
        <f t="shared" si="16"/>
        <v>777.24812500000007</v>
      </c>
      <c r="K313">
        <f t="shared" si="17"/>
        <v>5.4449158479132747</v>
      </c>
      <c r="L313">
        <f t="shared" si="18"/>
        <v>1.2549343783583404E-2</v>
      </c>
      <c r="M313" s="3">
        <v>45.973999999999997</v>
      </c>
      <c r="N313" s="3">
        <v>0.18287999999999999</v>
      </c>
      <c r="O313" s="10"/>
      <c r="P313" s="10"/>
      <c r="Q313" s="3">
        <v>1.06</v>
      </c>
      <c r="V313" s="3">
        <v>0</v>
      </c>
    </row>
    <row r="314" spans="1:22" x14ac:dyDescent="0.3">
      <c r="A314" s="1">
        <v>313</v>
      </c>
      <c r="B314" s="94">
        <v>27.165354399999998</v>
      </c>
      <c r="C314" s="93">
        <v>275.79039999999998</v>
      </c>
      <c r="D314" s="3">
        <v>2</v>
      </c>
      <c r="E314" s="3">
        <v>203.2</v>
      </c>
      <c r="F314" s="3">
        <v>203.2</v>
      </c>
      <c r="G314" s="3">
        <v>171.50099999999998</v>
      </c>
      <c r="H314" s="3">
        <v>81.025999999999996</v>
      </c>
      <c r="I314" s="3">
        <v>22.25</v>
      </c>
      <c r="J314" s="101">
        <f t="shared" si="16"/>
        <v>777.24812500000007</v>
      </c>
      <c r="K314">
        <f t="shared" si="17"/>
        <v>9.8078567147228597</v>
      </c>
      <c r="L314">
        <f t="shared" si="18"/>
        <v>1.8824015675375103E-2</v>
      </c>
      <c r="M314" s="3">
        <v>20.574000000000002</v>
      </c>
      <c r="N314" s="3">
        <v>7.8739999999999991E-2</v>
      </c>
      <c r="O314" s="10"/>
      <c r="P314" s="10"/>
      <c r="Q314" s="3">
        <v>0.99</v>
      </c>
      <c r="V314" s="3">
        <v>0</v>
      </c>
    </row>
    <row r="315" spans="1:22" x14ac:dyDescent="0.3">
      <c r="A315" s="1">
        <v>314</v>
      </c>
      <c r="B315" s="94">
        <v>27.165354399999998</v>
      </c>
      <c r="C315" s="93">
        <v>275.79039999999998</v>
      </c>
      <c r="D315" s="3">
        <v>2</v>
      </c>
      <c r="E315" s="3">
        <v>203.2</v>
      </c>
      <c r="F315" s="3">
        <v>203.2</v>
      </c>
      <c r="G315" s="3">
        <v>171.50099999999998</v>
      </c>
      <c r="H315" s="3">
        <v>81.025999999999996</v>
      </c>
      <c r="I315" s="3">
        <v>22.25</v>
      </c>
      <c r="J315" s="101">
        <f t="shared" si="16"/>
        <v>777.24812500000007</v>
      </c>
      <c r="K315">
        <f t="shared" si="17"/>
        <v>9.8078567147228597</v>
      </c>
      <c r="L315">
        <f t="shared" si="18"/>
        <v>1.8824015675375103E-2</v>
      </c>
      <c r="M315" s="3">
        <v>20.574000000000002</v>
      </c>
      <c r="N315" s="3">
        <v>0.18795999999999999</v>
      </c>
      <c r="O315" s="10"/>
      <c r="P315" s="10"/>
      <c r="Q315" s="3">
        <v>0.99</v>
      </c>
      <c r="V315" s="3">
        <v>0</v>
      </c>
    </row>
    <row r="316" spans="1:22" x14ac:dyDescent="0.3">
      <c r="A316" s="1">
        <v>315</v>
      </c>
      <c r="B316" s="94">
        <v>27.165354399999998</v>
      </c>
      <c r="C316" s="93">
        <v>275.79039999999998</v>
      </c>
      <c r="D316" s="3">
        <v>2</v>
      </c>
      <c r="E316" s="3">
        <v>203.2</v>
      </c>
      <c r="F316" s="3">
        <v>406.4</v>
      </c>
      <c r="G316" s="3">
        <v>311.20099999999996</v>
      </c>
      <c r="H316" s="3">
        <v>17.525999999999996</v>
      </c>
      <c r="I316" s="3">
        <v>22.25</v>
      </c>
      <c r="J316" s="101">
        <f t="shared" si="16"/>
        <v>777.24812500000007</v>
      </c>
      <c r="K316">
        <f t="shared" si="17"/>
        <v>3.2657827288101764</v>
      </c>
      <c r="L316">
        <f t="shared" si="18"/>
        <v>9.4120078376875513E-3</v>
      </c>
      <c r="M316" s="3">
        <v>84.073999999999998</v>
      </c>
      <c r="N316" s="3">
        <v>0.24891999999999997</v>
      </c>
      <c r="O316" s="10"/>
      <c r="P316" s="10"/>
      <c r="Q316" s="3">
        <v>1.18</v>
      </c>
      <c r="V316" s="3">
        <v>0</v>
      </c>
    </row>
    <row r="317" spans="1:22" x14ac:dyDescent="0.3">
      <c r="A317" s="1">
        <v>316</v>
      </c>
      <c r="B317" s="94">
        <v>27.165354399999998</v>
      </c>
      <c r="C317" s="93">
        <v>275.79039999999998</v>
      </c>
      <c r="D317" s="3">
        <v>2</v>
      </c>
      <c r="E317" s="3">
        <v>203.2</v>
      </c>
      <c r="F317" s="3">
        <v>406.4</v>
      </c>
      <c r="G317" s="3">
        <v>311.20099999999996</v>
      </c>
      <c r="H317" s="3">
        <v>17.525999999999996</v>
      </c>
      <c r="I317" s="3">
        <v>22.25</v>
      </c>
      <c r="J317" s="101">
        <f t="shared" si="16"/>
        <v>777.24812500000007</v>
      </c>
      <c r="K317">
        <f t="shared" si="17"/>
        <v>3.2657827288101764</v>
      </c>
      <c r="L317">
        <f t="shared" si="18"/>
        <v>9.4120078376875513E-3</v>
      </c>
      <c r="M317" s="3">
        <v>84.073999999999998</v>
      </c>
      <c r="N317" s="3">
        <v>0.25907999999999998</v>
      </c>
      <c r="O317" s="10"/>
      <c r="P317" s="10"/>
      <c r="Q317" s="3">
        <v>1.18</v>
      </c>
      <c r="V317" s="3">
        <v>0</v>
      </c>
    </row>
    <row r="318" spans="1:22" x14ac:dyDescent="0.3">
      <c r="A318" s="1">
        <v>317</v>
      </c>
      <c r="B318" s="96">
        <v>31.5090532</v>
      </c>
      <c r="C318" s="96">
        <v>344.738</v>
      </c>
      <c r="D318" s="3">
        <v>2</v>
      </c>
      <c r="E318" s="3">
        <v>203.2</v>
      </c>
      <c r="F318" s="3">
        <v>406.4</v>
      </c>
      <c r="G318" s="3">
        <v>346.202</v>
      </c>
      <c r="H318" s="3">
        <v>54.101999999999997</v>
      </c>
      <c r="I318" s="3">
        <v>25.4</v>
      </c>
      <c r="J318" s="101">
        <f t="shared" si="16"/>
        <v>1012.9011999999999</v>
      </c>
      <c r="K318">
        <f t="shared" si="17"/>
        <v>6.7304641350210987</v>
      </c>
      <c r="L318">
        <f t="shared" si="18"/>
        <v>1.2265624999999999E-2</v>
      </c>
      <c r="M318" s="3">
        <v>47.497999999999998</v>
      </c>
      <c r="N318" s="3">
        <v>0.18287999999999999</v>
      </c>
      <c r="O318" s="10"/>
      <c r="P318" s="10"/>
      <c r="Q318" s="3">
        <v>1.4</v>
      </c>
      <c r="V318" s="3">
        <v>0</v>
      </c>
    </row>
    <row r="319" spans="1:22" x14ac:dyDescent="0.3">
      <c r="A319" s="1">
        <v>318</v>
      </c>
      <c r="B319" s="96">
        <v>29.785363199999999</v>
      </c>
      <c r="C319" s="96">
        <v>344.738</v>
      </c>
      <c r="D319" s="3">
        <v>8</v>
      </c>
      <c r="E319" s="3">
        <v>203.2</v>
      </c>
      <c r="F319" s="3">
        <v>406.4</v>
      </c>
      <c r="G319" s="3">
        <v>358.64799999999997</v>
      </c>
      <c r="H319" s="3">
        <v>15.0495</v>
      </c>
      <c r="I319" s="3">
        <v>12.7</v>
      </c>
      <c r="J319" s="101">
        <f t="shared" ref="J319:J378" si="19">D319*(3.14/4)*I319*I319</f>
        <v>1012.9011999999999</v>
      </c>
      <c r="K319">
        <f t="shared" ref="K319:K379" si="20">J319/(2.5*(F319-G319))</f>
        <v>8.4846808510638265</v>
      </c>
      <c r="L319">
        <f t="shared" si="18"/>
        <v>1.2265624999999999E-2</v>
      </c>
      <c r="M319" s="3">
        <v>41.401999999999994</v>
      </c>
      <c r="N319" s="3">
        <v>0.14477999999999999</v>
      </c>
      <c r="O319" s="10"/>
      <c r="P319" s="10"/>
      <c r="Q319" s="3">
        <v>1.47</v>
      </c>
      <c r="V319" s="3">
        <v>0</v>
      </c>
    </row>
    <row r="320" spans="1:22" x14ac:dyDescent="0.3">
      <c r="A320" s="1">
        <v>319</v>
      </c>
      <c r="B320" s="96">
        <v>26.475878399999999</v>
      </c>
      <c r="C320" s="96">
        <v>344.738</v>
      </c>
      <c r="D320" s="3">
        <v>15</v>
      </c>
      <c r="E320" s="3">
        <v>203.2</v>
      </c>
      <c r="F320" s="3">
        <v>406.4</v>
      </c>
      <c r="G320" s="3">
        <v>362.01349999999996</v>
      </c>
      <c r="H320" s="3">
        <v>8.2634666666666661</v>
      </c>
      <c r="I320" s="3">
        <v>9.5250000000000004</v>
      </c>
      <c r="J320" s="101">
        <f t="shared" si="19"/>
        <v>1068.2942343750001</v>
      </c>
      <c r="K320">
        <f t="shared" si="20"/>
        <v>9.6271995708154492</v>
      </c>
      <c r="L320">
        <f t="shared" si="18"/>
        <v>1.2936401367187501E-2</v>
      </c>
      <c r="M320" s="3">
        <v>39.624000000000002</v>
      </c>
      <c r="N320" s="3">
        <v>0.15747999999999998</v>
      </c>
      <c r="O320" s="10"/>
      <c r="P320" s="10"/>
      <c r="Q320" s="3">
        <v>1.57</v>
      </c>
      <c r="V320" s="3">
        <v>0</v>
      </c>
    </row>
    <row r="321" spans="1:22" x14ac:dyDescent="0.3">
      <c r="A321" s="1">
        <v>320</v>
      </c>
      <c r="B321" s="96">
        <v>32.750109999999999</v>
      </c>
      <c r="C321" s="96">
        <v>344.738</v>
      </c>
      <c r="D321" s="3">
        <v>1</v>
      </c>
      <c r="E321" s="3">
        <v>203.2</v>
      </c>
      <c r="F321" s="3">
        <v>406.4</v>
      </c>
      <c r="G321" s="3">
        <v>346.202</v>
      </c>
      <c r="H321" s="3">
        <v>108.20399999999999</v>
      </c>
      <c r="I321" s="3">
        <v>25.4</v>
      </c>
      <c r="J321" s="101">
        <f t="shared" si="19"/>
        <v>506.45059999999995</v>
      </c>
      <c r="K321">
        <f t="shared" si="20"/>
        <v>3.3652320675105494</v>
      </c>
      <c r="L321">
        <f t="shared" si="18"/>
        <v>6.1328124999999994E-3</v>
      </c>
      <c r="M321" s="3">
        <v>47.497999999999998</v>
      </c>
      <c r="N321" s="3">
        <v>0.24891999999999997</v>
      </c>
      <c r="O321" s="10"/>
      <c r="P321" s="10"/>
      <c r="Q321" s="3">
        <v>0.7</v>
      </c>
      <c r="V321" s="3">
        <v>0</v>
      </c>
    </row>
    <row r="322" spans="1:22" x14ac:dyDescent="0.3">
      <c r="A322" s="1">
        <v>321</v>
      </c>
      <c r="B322" s="96">
        <v>27.165354399999998</v>
      </c>
      <c r="C322" s="96">
        <v>344.738</v>
      </c>
      <c r="D322" s="3">
        <v>2</v>
      </c>
      <c r="E322" s="3">
        <v>203.2</v>
      </c>
      <c r="F322" s="3">
        <v>406.4</v>
      </c>
      <c r="G322" s="3">
        <v>352.42500000000001</v>
      </c>
      <c r="H322" s="3">
        <v>57.15</v>
      </c>
      <c r="I322" s="3">
        <v>19.05</v>
      </c>
      <c r="J322" s="101">
        <f t="shared" si="19"/>
        <v>569.75692500000014</v>
      </c>
      <c r="K322">
        <f t="shared" si="20"/>
        <v>4.2223764705882392</v>
      </c>
      <c r="L322">
        <f t="shared" si="18"/>
        <v>6.8994140625000021E-3</v>
      </c>
      <c r="M322" s="3">
        <v>44.449999999999996</v>
      </c>
      <c r="N322" s="3">
        <v>0.14731999999999998</v>
      </c>
      <c r="O322" s="10"/>
      <c r="P322" s="10"/>
      <c r="Q322" s="3">
        <v>0.77</v>
      </c>
      <c r="V322" s="3">
        <v>0</v>
      </c>
    </row>
    <row r="323" spans="1:22" x14ac:dyDescent="0.3">
      <c r="A323" s="1">
        <v>322</v>
      </c>
      <c r="B323" s="96">
        <v>27.6479876</v>
      </c>
      <c r="C323" s="96">
        <v>344.738</v>
      </c>
      <c r="D323" s="3">
        <v>4</v>
      </c>
      <c r="E323" s="3">
        <v>203.2</v>
      </c>
      <c r="F323" s="3">
        <v>406.4</v>
      </c>
      <c r="G323" s="3">
        <v>358.64799999999997</v>
      </c>
      <c r="H323" s="3">
        <v>30.099</v>
      </c>
      <c r="I323" s="3">
        <v>12.7</v>
      </c>
      <c r="J323" s="101">
        <f t="shared" si="19"/>
        <v>506.45059999999995</v>
      </c>
      <c r="K323">
        <f t="shared" si="20"/>
        <v>4.2423404255319133</v>
      </c>
      <c r="L323">
        <f t="shared" ref="L323:L386" si="21">J323/(E323*F323)</f>
        <v>6.1328124999999994E-3</v>
      </c>
      <c r="M323" s="3">
        <v>41.401999999999994</v>
      </c>
      <c r="N323" s="3">
        <v>0.18034</v>
      </c>
      <c r="O323" s="10"/>
      <c r="P323" s="10"/>
      <c r="Q323" s="3">
        <v>0.73</v>
      </c>
      <c r="V323" s="3">
        <v>0</v>
      </c>
    </row>
    <row r="324" spans="1:22" x14ac:dyDescent="0.3">
      <c r="A324" s="1">
        <v>323</v>
      </c>
      <c r="B324" s="96">
        <v>48.539110399999998</v>
      </c>
      <c r="C324" s="96">
        <v>344.738</v>
      </c>
      <c r="D324" s="3">
        <v>2</v>
      </c>
      <c r="E324" s="3">
        <v>203.2</v>
      </c>
      <c r="F324" s="3">
        <v>406.4</v>
      </c>
      <c r="G324" s="3">
        <v>346.202</v>
      </c>
      <c r="H324" s="3">
        <v>54.101999999999997</v>
      </c>
      <c r="I324" s="3">
        <v>25.4</v>
      </c>
      <c r="J324" s="101">
        <f t="shared" si="19"/>
        <v>1012.9011999999999</v>
      </c>
      <c r="K324">
        <f t="shared" si="20"/>
        <v>6.7304641350210987</v>
      </c>
      <c r="L324">
        <f t="shared" si="21"/>
        <v>1.2265624999999999E-2</v>
      </c>
      <c r="M324" s="3">
        <v>47.497999999999998</v>
      </c>
      <c r="N324" s="3">
        <v>0.16763999999999998</v>
      </c>
      <c r="O324" s="10"/>
      <c r="P324" s="10"/>
      <c r="Q324" s="3">
        <v>1.4</v>
      </c>
      <c r="V324" s="3">
        <v>0</v>
      </c>
    </row>
    <row r="325" spans="1:22" x14ac:dyDescent="0.3">
      <c r="A325" s="1">
        <v>324</v>
      </c>
      <c r="B325" s="96">
        <v>49.918062399999997</v>
      </c>
      <c r="C325" s="96">
        <v>344.738</v>
      </c>
      <c r="D325" s="3">
        <v>4</v>
      </c>
      <c r="E325" s="3">
        <v>203.2</v>
      </c>
      <c r="F325" s="3">
        <v>406.4</v>
      </c>
      <c r="G325" s="3">
        <v>352.42500000000001</v>
      </c>
      <c r="H325" s="3">
        <v>28.574999999999999</v>
      </c>
      <c r="I325" s="3">
        <v>19.05</v>
      </c>
      <c r="J325" s="101">
        <f t="shared" si="19"/>
        <v>1139.5138500000003</v>
      </c>
      <c r="K325">
        <f t="shared" si="20"/>
        <v>8.4447529411764783</v>
      </c>
      <c r="L325">
        <f t="shared" si="21"/>
        <v>1.3798828125000004E-2</v>
      </c>
      <c r="M325" s="3">
        <v>44.449999999999996</v>
      </c>
      <c r="N325" s="3">
        <v>0.21335999999999997</v>
      </c>
      <c r="O325" s="10"/>
      <c r="P325" s="10"/>
      <c r="Q325" s="3">
        <v>1.54</v>
      </c>
      <c r="V325" s="3">
        <v>0</v>
      </c>
    </row>
    <row r="326" spans="1:22" x14ac:dyDescent="0.3">
      <c r="A326" s="1">
        <v>325</v>
      </c>
      <c r="B326" s="96">
        <v>48.745953199999995</v>
      </c>
      <c r="C326" s="96">
        <v>344.738</v>
      </c>
      <c r="D326" s="3">
        <v>8</v>
      </c>
      <c r="E326" s="3">
        <v>203.2</v>
      </c>
      <c r="F326" s="3">
        <v>406.4</v>
      </c>
      <c r="G326" s="3">
        <v>358.64799999999997</v>
      </c>
      <c r="H326" s="3">
        <v>15.0495</v>
      </c>
      <c r="I326" s="3">
        <v>12.7</v>
      </c>
      <c r="J326" s="101">
        <f t="shared" si="19"/>
        <v>1012.9011999999999</v>
      </c>
      <c r="K326">
        <f t="shared" si="20"/>
        <v>8.4846808510638265</v>
      </c>
      <c r="L326">
        <f t="shared" si="21"/>
        <v>1.2265624999999999E-2</v>
      </c>
      <c r="M326" s="3">
        <v>41.401999999999994</v>
      </c>
      <c r="N326" s="3">
        <v>0.15747999999999998</v>
      </c>
      <c r="O326" s="10"/>
      <c r="P326" s="10"/>
      <c r="Q326" s="3">
        <v>1.47</v>
      </c>
      <c r="V326" s="3">
        <v>0</v>
      </c>
    </row>
    <row r="327" spans="1:22" x14ac:dyDescent="0.3">
      <c r="A327" s="1">
        <v>326</v>
      </c>
      <c r="B327" s="96">
        <v>46.7809466</v>
      </c>
      <c r="C327" s="96">
        <v>344.738</v>
      </c>
      <c r="D327" s="3">
        <v>15</v>
      </c>
      <c r="E327" s="3">
        <v>203.2</v>
      </c>
      <c r="F327" s="3">
        <v>406.4</v>
      </c>
      <c r="G327" s="3">
        <v>362.01349999999996</v>
      </c>
      <c r="H327" s="3">
        <v>8.2634666666666661</v>
      </c>
      <c r="I327" s="3">
        <v>9.5250000000000004</v>
      </c>
      <c r="J327" s="101">
        <f t="shared" si="19"/>
        <v>1068.2942343750001</v>
      </c>
      <c r="K327">
        <f t="shared" si="20"/>
        <v>9.6271995708154492</v>
      </c>
      <c r="L327">
        <f t="shared" si="21"/>
        <v>1.2936401367187501E-2</v>
      </c>
      <c r="M327" s="3">
        <v>39.624000000000002</v>
      </c>
      <c r="N327" s="3">
        <v>0.15240000000000001</v>
      </c>
      <c r="O327" s="10"/>
      <c r="P327" s="10"/>
      <c r="Q327" s="3">
        <v>1.57</v>
      </c>
      <c r="V327" s="3">
        <v>0</v>
      </c>
    </row>
    <row r="328" spans="1:22" x14ac:dyDescent="0.3">
      <c r="A328" s="1">
        <v>327</v>
      </c>
      <c r="B328" s="96">
        <v>32.612214799999997</v>
      </c>
      <c r="C328" s="96">
        <v>344.738</v>
      </c>
      <c r="D328" s="3">
        <v>12</v>
      </c>
      <c r="E328" s="3">
        <v>203.2</v>
      </c>
      <c r="F328" s="3">
        <v>406.4</v>
      </c>
      <c r="G328" s="3">
        <v>374.65</v>
      </c>
      <c r="H328" s="3">
        <v>12.699999999999998</v>
      </c>
      <c r="I328" s="3">
        <v>12.7</v>
      </c>
      <c r="J328" s="101">
        <f t="shared" si="19"/>
        <v>1519.3517999999997</v>
      </c>
      <c r="K328">
        <f t="shared" si="20"/>
        <v>19.141439999999996</v>
      </c>
      <c r="L328">
        <f t="shared" si="21"/>
        <v>1.8398437499999996E-2</v>
      </c>
      <c r="M328" s="3">
        <v>25.4</v>
      </c>
      <c r="N328" s="3">
        <v>0.22352</v>
      </c>
      <c r="O328" s="10"/>
      <c r="P328" s="10"/>
      <c r="Q328" s="3">
        <v>1.47</v>
      </c>
      <c r="V328" s="3">
        <v>0</v>
      </c>
    </row>
    <row r="329" spans="1:22" x14ac:dyDescent="0.3">
      <c r="A329" s="1">
        <v>328</v>
      </c>
      <c r="B329" s="96">
        <v>30.9574724</v>
      </c>
      <c r="C329" s="96">
        <v>344.738</v>
      </c>
      <c r="D329" s="3">
        <v>8</v>
      </c>
      <c r="E329" s="3">
        <v>203.2</v>
      </c>
      <c r="F329" s="3">
        <v>406.4</v>
      </c>
      <c r="G329" s="3">
        <v>374.65</v>
      </c>
      <c r="H329" s="3">
        <v>19.049999999999997</v>
      </c>
      <c r="I329" s="3">
        <v>12.7</v>
      </c>
      <c r="J329" s="101">
        <f t="shared" si="19"/>
        <v>1012.9011999999999</v>
      </c>
      <c r="K329">
        <f t="shared" si="20"/>
        <v>12.760959999999999</v>
      </c>
      <c r="L329">
        <f t="shared" si="21"/>
        <v>1.2265624999999999E-2</v>
      </c>
      <c r="M329" s="3">
        <v>25.4</v>
      </c>
      <c r="N329" s="3">
        <v>0.12191999999999999</v>
      </c>
      <c r="O329" s="10"/>
      <c r="Q329" s="3">
        <v>1.47</v>
      </c>
      <c r="V329" s="3">
        <v>0</v>
      </c>
    </row>
    <row r="330" spans="1:22" x14ac:dyDescent="0.3">
      <c r="A330" s="1">
        <v>329</v>
      </c>
      <c r="B330" s="96">
        <v>30.543786799999999</v>
      </c>
      <c r="C330" s="96">
        <v>344.738</v>
      </c>
      <c r="D330" s="3">
        <v>6</v>
      </c>
      <c r="E330" s="3">
        <v>203.2</v>
      </c>
      <c r="F330" s="3">
        <v>406.4</v>
      </c>
      <c r="G330" s="3">
        <v>374.65</v>
      </c>
      <c r="H330" s="3">
        <v>25.399999999999995</v>
      </c>
      <c r="I330" s="3">
        <v>12.7</v>
      </c>
      <c r="J330" s="101">
        <f t="shared" si="19"/>
        <v>759.67589999999984</v>
      </c>
      <c r="K330">
        <f t="shared" si="20"/>
        <v>9.5707199999999979</v>
      </c>
      <c r="L330">
        <f t="shared" si="21"/>
        <v>9.1992187499999982E-3</v>
      </c>
      <c r="M330" s="3">
        <v>25.4</v>
      </c>
      <c r="N330" s="3">
        <v>0.19049999999999997</v>
      </c>
      <c r="O330" s="10"/>
      <c r="Q330" s="3">
        <v>1.47</v>
      </c>
      <c r="V330" s="3">
        <v>0</v>
      </c>
    </row>
    <row r="331" spans="1:22" x14ac:dyDescent="0.3">
      <c r="A331" s="1">
        <v>330</v>
      </c>
      <c r="B331" s="96">
        <v>40.472241199999999</v>
      </c>
      <c r="C331" s="96">
        <v>344.738</v>
      </c>
      <c r="D331" s="3">
        <v>4</v>
      </c>
      <c r="E331" s="3">
        <v>203.2</v>
      </c>
      <c r="F331" s="3">
        <v>406.4</v>
      </c>
      <c r="G331" s="3">
        <v>374.65</v>
      </c>
      <c r="H331" s="3">
        <v>38.099999999999994</v>
      </c>
      <c r="I331" s="3">
        <v>12.7</v>
      </c>
      <c r="J331" s="101">
        <f t="shared" si="19"/>
        <v>506.45059999999995</v>
      </c>
      <c r="K331">
        <f t="shared" si="20"/>
        <v>6.3804799999999995</v>
      </c>
      <c r="L331">
        <f t="shared" si="21"/>
        <v>6.1328124999999994E-3</v>
      </c>
      <c r="M331" s="3">
        <v>25.4</v>
      </c>
      <c r="N331" s="3">
        <v>0.12191999999999999</v>
      </c>
      <c r="O331" s="10"/>
      <c r="Q331" s="3">
        <v>1.47</v>
      </c>
      <c r="V331" s="3">
        <v>0</v>
      </c>
    </row>
    <row r="332" spans="1:22" x14ac:dyDescent="0.3">
      <c r="A332" s="1">
        <v>331</v>
      </c>
      <c r="B332" s="96">
        <v>29.785363199999999</v>
      </c>
      <c r="C332" s="96">
        <v>344.738</v>
      </c>
      <c r="D332" s="3">
        <v>6</v>
      </c>
      <c r="E332" s="3">
        <v>203.2</v>
      </c>
      <c r="F332" s="3">
        <v>406.4</v>
      </c>
      <c r="G332" s="3">
        <v>352.42500000000001</v>
      </c>
      <c r="H332" s="3">
        <v>19.05</v>
      </c>
      <c r="I332" s="3">
        <v>19.05</v>
      </c>
      <c r="J332" s="101">
        <f t="shared" si="19"/>
        <v>1709.270775</v>
      </c>
      <c r="K332">
        <f t="shared" si="20"/>
        <v>12.667129411764714</v>
      </c>
      <c r="L332">
        <f t="shared" si="21"/>
        <v>2.06982421875E-2</v>
      </c>
      <c r="M332" s="3">
        <v>44.449999999999996</v>
      </c>
      <c r="N332" s="3">
        <v>0.18287999999999999</v>
      </c>
      <c r="O332" s="10"/>
      <c r="Q332" s="3">
        <v>1.54</v>
      </c>
      <c r="V332" s="3">
        <v>0</v>
      </c>
    </row>
    <row r="333" spans="1:22" x14ac:dyDescent="0.3">
      <c r="A333" s="1">
        <v>332</v>
      </c>
      <c r="B333" s="96">
        <v>30.7506296</v>
      </c>
      <c r="C333" s="96">
        <v>344.738</v>
      </c>
      <c r="D333" s="3">
        <v>4</v>
      </c>
      <c r="E333" s="3">
        <v>203.2</v>
      </c>
      <c r="F333" s="3">
        <v>406.4</v>
      </c>
      <c r="G333" s="3">
        <v>352.42500000000001</v>
      </c>
      <c r="H333" s="3">
        <v>28.574999999999999</v>
      </c>
      <c r="I333" s="3">
        <v>19.05</v>
      </c>
      <c r="J333" s="101">
        <f t="shared" si="19"/>
        <v>1139.5138500000003</v>
      </c>
      <c r="K333">
        <f t="shared" si="20"/>
        <v>8.4447529411764783</v>
      </c>
      <c r="L333">
        <f t="shared" si="21"/>
        <v>1.3798828125000004E-2</v>
      </c>
      <c r="M333" s="3">
        <v>44.449999999999996</v>
      </c>
      <c r="N333" s="3">
        <v>0.19049999999999997</v>
      </c>
      <c r="O333" s="10"/>
      <c r="Q333" s="3">
        <v>1.54</v>
      </c>
      <c r="V333" s="3">
        <v>0</v>
      </c>
    </row>
    <row r="334" spans="1:22" x14ac:dyDescent="0.3">
      <c r="A334" s="1">
        <v>333</v>
      </c>
      <c r="B334" s="96">
        <v>30.543786799999999</v>
      </c>
      <c r="C334" s="96">
        <v>344.738</v>
      </c>
      <c r="D334" s="3">
        <v>3</v>
      </c>
      <c r="E334" s="3">
        <v>203.2</v>
      </c>
      <c r="F334" s="3">
        <v>406.4</v>
      </c>
      <c r="G334" s="3">
        <v>352.42500000000001</v>
      </c>
      <c r="H334" s="3">
        <v>38.1</v>
      </c>
      <c r="I334" s="3">
        <v>19.05</v>
      </c>
      <c r="J334" s="101">
        <f t="shared" si="19"/>
        <v>854.63538749999998</v>
      </c>
      <c r="K334">
        <f t="shared" si="20"/>
        <v>6.333564705882357</v>
      </c>
      <c r="L334">
        <f t="shared" si="21"/>
        <v>1.034912109375E-2</v>
      </c>
      <c r="M334" s="3">
        <v>44.449999999999996</v>
      </c>
      <c r="N334" s="3">
        <v>9.6519999999999995E-2</v>
      </c>
      <c r="O334" s="10"/>
      <c r="Q334" s="3">
        <v>1.61</v>
      </c>
      <c r="V334" s="3">
        <v>0</v>
      </c>
    </row>
    <row r="335" spans="1:22" x14ac:dyDescent="0.3">
      <c r="A335" s="1">
        <v>334</v>
      </c>
      <c r="B335" s="96">
        <v>28.3374636</v>
      </c>
      <c r="C335" s="96">
        <v>344.738</v>
      </c>
      <c r="D335" s="3">
        <v>2</v>
      </c>
      <c r="E335" s="3">
        <v>304.79999999999995</v>
      </c>
      <c r="F335" s="3">
        <v>406.4</v>
      </c>
      <c r="G335" s="3">
        <v>352.42500000000001</v>
      </c>
      <c r="H335" s="3">
        <v>107.94999999999999</v>
      </c>
      <c r="I335" s="3">
        <v>19.05</v>
      </c>
      <c r="J335" s="101">
        <f t="shared" si="19"/>
        <v>569.75692500000014</v>
      </c>
      <c r="K335">
        <f t="shared" si="20"/>
        <v>4.2223764705882392</v>
      </c>
      <c r="L335">
        <f t="shared" si="21"/>
        <v>4.5996093750000026E-3</v>
      </c>
      <c r="M335" s="3">
        <v>44.449999999999996</v>
      </c>
      <c r="N335" s="3">
        <v>0.15747999999999998</v>
      </c>
      <c r="O335" s="10"/>
      <c r="Q335" s="3">
        <v>1.76</v>
      </c>
      <c r="V335" s="3">
        <v>0</v>
      </c>
    </row>
    <row r="336" spans="1:22" x14ac:dyDescent="0.3">
      <c r="A336" s="1">
        <v>335</v>
      </c>
      <c r="B336" s="96">
        <v>27.7858828</v>
      </c>
      <c r="C336" s="96">
        <v>344.738</v>
      </c>
      <c r="D336" s="3">
        <v>2</v>
      </c>
      <c r="E336" s="3">
        <v>203.2</v>
      </c>
      <c r="F336" s="3">
        <v>406.4</v>
      </c>
      <c r="G336" s="3">
        <v>349.30099999999999</v>
      </c>
      <c r="H336" s="3">
        <v>55.625999999999998</v>
      </c>
      <c r="I336" s="3">
        <v>22.25</v>
      </c>
      <c r="J336" s="101">
        <f t="shared" si="19"/>
        <v>777.24812500000007</v>
      </c>
      <c r="K336">
        <f t="shared" si="20"/>
        <v>5.4449158479132747</v>
      </c>
      <c r="L336">
        <f t="shared" si="21"/>
        <v>9.4120078376875513E-3</v>
      </c>
      <c r="M336" s="3">
        <v>45.973999999999997</v>
      </c>
      <c r="N336" s="3">
        <v>0.15240000000000001</v>
      </c>
      <c r="O336" s="10"/>
      <c r="Q336" s="3">
        <v>0.99</v>
      </c>
      <c r="V336" s="3">
        <v>0</v>
      </c>
    </row>
    <row r="337" spans="1:22" x14ac:dyDescent="0.3">
      <c r="A337" s="1">
        <v>336</v>
      </c>
      <c r="B337" s="96">
        <v>27.7858828</v>
      </c>
      <c r="C337" s="96">
        <v>344.738</v>
      </c>
      <c r="D337" s="3">
        <v>2</v>
      </c>
      <c r="E337" s="3">
        <v>203.2</v>
      </c>
      <c r="F337" s="3">
        <v>406.4</v>
      </c>
      <c r="G337" s="3">
        <v>349.30099999999999</v>
      </c>
      <c r="H337" s="3">
        <v>55.625999999999998</v>
      </c>
      <c r="I337" s="3">
        <v>22.25</v>
      </c>
      <c r="J337" s="101">
        <f t="shared" si="19"/>
        <v>777.24812500000007</v>
      </c>
      <c r="K337">
        <f t="shared" si="20"/>
        <v>5.4449158479132747</v>
      </c>
      <c r="L337">
        <f t="shared" si="21"/>
        <v>9.4120078376875513E-3</v>
      </c>
      <c r="M337" s="3">
        <v>45.973999999999997</v>
      </c>
      <c r="N337" s="3">
        <v>0.13969999999999999</v>
      </c>
      <c r="O337" s="10"/>
      <c r="Q337" s="3">
        <v>0.99</v>
      </c>
      <c r="V337" s="3">
        <v>0</v>
      </c>
    </row>
    <row r="338" spans="1:22" x14ac:dyDescent="0.3">
      <c r="A338" s="1">
        <v>337</v>
      </c>
      <c r="B338" s="96">
        <v>20.960070399999999</v>
      </c>
      <c r="C338" s="96">
        <v>344.738</v>
      </c>
      <c r="D338" s="3">
        <v>2</v>
      </c>
      <c r="E338" s="3">
        <v>152.39999999999998</v>
      </c>
      <c r="F338" s="3">
        <v>406.4</v>
      </c>
      <c r="G338" s="3">
        <v>349.30099999999999</v>
      </c>
      <c r="H338" s="3">
        <v>30.225999999999992</v>
      </c>
      <c r="I338" s="3">
        <v>22.25</v>
      </c>
      <c r="J338" s="101">
        <f t="shared" si="19"/>
        <v>777.24812500000007</v>
      </c>
      <c r="K338">
        <f t="shared" si="20"/>
        <v>5.4449158479132747</v>
      </c>
      <c r="L338">
        <f t="shared" si="21"/>
        <v>1.2549343783583404E-2</v>
      </c>
      <c r="M338" s="3">
        <v>45.973999999999997</v>
      </c>
      <c r="N338" s="3">
        <v>0.17779999999999999</v>
      </c>
      <c r="O338" s="10"/>
      <c r="Q338" s="3">
        <v>1.06</v>
      </c>
      <c r="V338" s="3">
        <v>0</v>
      </c>
    </row>
    <row r="339" spans="1:22" x14ac:dyDescent="0.3">
      <c r="A339" s="1">
        <v>338</v>
      </c>
      <c r="B339" s="96">
        <v>20.960070399999999</v>
      </c>
      <c r="C339" s="96">
        <v>344.738</v>
      </c>
      <c r="D339" s="3">
        <v>2</v>
      </c>
      <c r="E339" s="3">
        <v>152.39999999999998</v>
      </c>
      <c r="F339" s="3">
        <v>406.4</v>
      </c>
      <c r="G339" s="3">
        <v>349.30099999999999</v>
      </c>
      <c r="H339" s="3">
        <v>30.225999999999992</v>
      </c>
      <c r="I339" s="3">
        <v>22.25</v>
      </c>
      <c r="J339" s="101">
        <f t="shared" si="19"/>
        <v>777.24812500000007</v>
      </c>
      <c r="K339">
        <f t="shared" si="20"/>
        <v>5.4449158479132747</v>
      </c>
      <c r="L339">
        <f t="shared" si="21"/>
        <v>1.2549343783583404E-2</v>
      </c>
      <c r="M339" s="3">
        <v>45.973999999999997</v>
      </c>
      <c r="N339" s="3">
        <v>0.19049999999999997</v>
      </c>
      <c r="O339" s="10"/>
      <c r="Q339" s="3">
        <v>1.06</v>
      </c>
      <c r="V339" s="3">
        <v>0</v>
      </c>
    </row>
    <row r="340" spans="1:22" x14ac:dyDescent="0.3">
      <c r="A340" s="1">
        <v>339</v>
      </c>
      <c r="B340" s="96">
        <v>25.096926400000001</v>
      </c>
      <c r="C340" s="96">
        <v>344.738</v>
      </c>
      <c r="D340" s="3">
        <v>2</v>
      </c>
      <c r="E340" s="3">
        <v>101.6</v>
      </c>
      <c r="F340" s="3">
        <v>406.4</v>
      </c>
      <c r="G340" s="3">
        <v>349.30099999999999</v>
      </c>
      <c r="H340" s="3">
        <v>4.8260000000000005</v>
      </c>
      <c r="I340" s="3">
        <v>22.25</v>
      </c>
      <c r="J340" s="101">
        <f t="shared" si="19"/>
        <v>777.24812500000007</v>
      </c>
      <c r="K340">
        <f t="shared" si="20"/>
        <v>5.4449158479132747</v>
      </c>
      <c r="L340">
        <f t="shared" si="21"/>
        <v>1.8824015675375103E-2</v>
      </c>
      <c r="M340" s="3">
        <v>45.973999999999997</v>
      </c>
      <c r="N340" s="3">
        <v>0.19049999999999997</v>
      </c>
      <c r="O340" s="10"/>
      <c r="Q340" s="3">
        <v>1.18</v>
      </c>
      <c r="V340" s="3">
        <v>0</v>
      </c>
    </row>
    <row r="341" spans="1:22" x14ac:dyDescent="0.3">
      <c r="A341" s="1">
        <v>340</v>
      </c>
      <c r="B341" s="96">
        <v>25.096926400000001</v>
      </c>
      <c r="C341" s="96">
        <v>344.738</v>
      </c>
      <c r="D341" s="3">
        <v>2</v>
      </c>
      <c r="E341" s="3">
        <v>203.2</v>
      </c>
      <c r="F341" s="3">
        <v>609.59999999999991</v>
      </c>
      <c r="G341" s="3">
        <v>552.50099999999986</v>
      </c>
      <c r="H341" s="3">
        <v>55.625999999999998</v>
      </c>
      <c r="I341" s="3">
        <v>22.25</v>
      </c>
      <c r="J341" s="101">
        <f t="shared" si="19"/>
        <v>777.24812500000007</v>
      </c>
      <c r="K341">
        <f t="shared" si="20"/>
        <v>5.4449158479132693</v>
      </c>
      <c r="L341">
        <f t="shared" si="21"/>
        <v>6.274671891791702E-3</v>
      </c>
      <c r="M341" s="3">
        <v>45.973999999999997</v>
      </c>
      <c r="N341" s="3">
        <v>0.21590000000000001</v>
      </c>
      <c r="O341" s="10"/>
      <c r="Q341" s="3">
        <v>1.34</v>
      </c>
      <c r="V341" s="3">
        <v>0</v>
      </c>
    </row>
    <row r="342" spans="1:22" x14ac:dyDescent="0.3">
      <c r="A342" s="1">
        <v>341</v>
      </c>
      <c r="B342" s="96">
        <v>30.061153599999997</v>
      </c>
      <c r="C342" s="96">
        <v>344.738</v>
      </c>
      <c r="D342" s="3">
        <v>2</v>
      </c>
      <c r="E342" s="3">
        <v>203.2</v>
      </c>
      <c r="F342" s="3">
        <v>406.4</v>
      </c>
      <c r="G342" s="3">
        <v>374.70099999999996</v>
      </c>
      <c r="H342" s="3">
        <v>81.025999999999996</v>
      </c>
      <c r="I342" s="3">
        <v>22.25</v>
      </c>
      <c r="J342" s="101">
        <f t="shared" si="19"/>
        <v>777.24812500000007</v>
      </c>
      <c r="K342">
        <f t="shared" si="20"/>
        <v>9.8078567147228597</v>
      </c>
      <c r="L342">
        <f t="shared" si="21"/>
        <v>9.4120078376875513E-3</v>
      </c>
      <c r="M342" s="3">
        <v>20.574000000000002</v>
      </c>
      <c r="N342" s="3">
        <v>0.12191999999999999</v>
      </c>
      <c r="O342" s="10"/>
      <c r="Q342" s="3">
        <v>1.06</v>
      </c>
      <c r="V342" s="3">
        <v>0</v>
      </c>
    </row>
    <row r="343" spans="1:22" x14ac:dyDescent="0.3">
      <c r="A343" s="1">
        <v>342</v>
      </c>
      <c r="B343" s="96">
        <v>30.061153599999997</v>
      </c>
      <c r="C343" s="96">
        <v>344.738</v>
      </c>
      <c r="D343" s="3">
        <v>2</v>
      </c>
      <c r="E343" s="3">
        <v>203.2</v>
      </c>
      <c r="F343" s="3">
        <v>406.4</v>
      </c>
      <c r="G343" s="3">
        <v>349.30099999999999</v>
      </c>
      <c r="H343" s="3">
        <v>55.625999999999998</v>
      </c>
      <c r="I343" s="3">
        <v>22.25</v>
      </c>
      <c r="J343" s="101">
        <f t="shared" si="19"/>
        <v>777.24812500000007</v>
      </c>
      <c r="K343">
        <f t="shared" si="20"/>
        <v>5.4449158479132747</v>
      </c>
      <c r="L343">
        <f t="shared" si="21"/>
        <v>9.4120078376875513E-3</v>
      </c>
      <c r="M343" s="3">
        <v>45.973999999999997</v>
      </c>
      <c r="N343" s="3">
        <v>0.254</v>
      </c>
      <c r="O343" s="10"/>
      <c r="Q343" s="3">
        <v>1.06</v>
      </c>
      <c r="V343" s="3">
        <v>0</v>
      </c>
    </row>
    <row r="344" spans="1:22" x14ac:dyDescent="0.3">
      <c r="A344" s="1">
        <v>343</v>
      </c>
      <c r="B344" s="96">
        <v>30.061153599999997</v>
      </c>
      <c r="C344" s="96">
        <v>344.738</v>
      </c>
      <c r="D344" s="3">
        <v>2</v>
      </c>
      <c r="E344" s="3">
        <v>203.2</v>
      </c>
      <c r="F344" s="3">
        <v>304.79999999999995</v>
      </c>
      <c r="G344" s="3">
        <v>209.60099999999994</v>
      </c>
      <c r="H344" s="3">
        <v>17.525999999999996</v>
      </c>
      <c r="I344" s="3">
        <v>22.25</v>
      </c>
      <c r="J344" s="101">
        <f t="shared" si="19"/>
        <v>777.24812500000007</v>
      </c>
      <c r="K344">
        <f t="shared" si="20"/>
        <v>3.2657827288101764</v>
      </c>
      <c r="L344">
        <f t="shared" si="21"/>
        <v>1.2549343783583404E-2</v>
      </c>
      <c r="M344" s="3">
        <v>84.073999999999998</v>
      </c>
      <c r="N344" s="3">
        <v>0.19049999999999997</v>
      </c>
      <c r="O344" s="10"/>
      <c r="Q344" s="3">
        <v>1.06</v>
      </c>
      <c r="V344" s="3">
        <v>0</v>
      </c>
    </row>
    <row r="345" spans="1:22" x14ac:dyDescent="0.3">
      <c r="A345" s="1">
        <v>344</v>
      </c>
      <c r="B345" s="96">
        <v>30.061153599999997</v>
      </c>
      <c r="C345" s="96">
        <v>344.738</v>
      </c>
      <c r="D345" s="3">
        <v>2</v>
      </c>
      <c r="E345" s="3">
        <v>203.2</v>
      </c>
      <c r="F345" s="3">
        <v>304.79999999999995</v>
      </c>
      <c r="G345" s="3">
        <v>247.70099999999996</v>
      </c>
      <c r="H345" s="3">
        <v>55.625999999999998</v>
      </c>
      <c r="I345" s="3">
        <v>22.25</v>
      </c>
      <c r="J345" s="101">
        <f t="shared" si="19"/>
        <v>777.24812500000007</v>
      </c>
      <c r="K345">
        <f t="shared" si="20"/>
        <v>5.4449158479132747</v>
      </c>
      <c r="L345">
        <f t="shared" si="21"/>
        <v>1.2549343783583404E-2</v>
      </c>
      <c r="M345" s="3">
        <v>45.973999999999997</v>
      </c>
      <c r="N345" s="3">
        <v>0.24129999999999999</v>
      </c>
      <c r="O345" s="10"/>
      <c r="Q345" s="3">
        <v>1.06</v>
      </c>
      <c r="V345" s="3">
        <v>0</v>
      </c>
    </row>
    <row r="346" spans="1:22" x14ac:dyDescent="0.3">
      <c r="A346" s="1">
        <v>345</v>
      </c>
      <c r="B346" s="96">
        <v>27.165354399999998</v>
      </c>
      <c r="C346" s="96">
        <v>344.738</v>
      </c>
      <c r="D346" s="3">
        <v>2</v>
      </c>
      <c r="E346" s="3">
        <v>203.2</v>
      </c>
      <c r="F346" s="3">
        <v>203.2</v>
      </c>
      <c r="G346" s="3">
        <v>171.50099999999998</v>
      </c>
      <c r="H346" s="3">
        <v>81.025999999999996</v>
      </c>
      <c r="I346" s="3">
        <v>22.25</v>
      </c>
      <c r="J346" s="101">
        <f t="shared" si="19"/>
        <v>777.24812500000007</v>
      </c>
      <c r="K346">
        <f t="shared" si="20"/>
        <v>9.8078567147228597</v>
      </c>
      <c r="L346">
        <f t="shared" si="21"/>
        <v>1.8824015675375103E-2</v>
      </c>
      <c r="M346" s="3">
        <v>20.574000000000002</v>
      </c>
      <c r="N346" s="3">
        <v>0.1016</v>
      </c>
      <c r="O346" s="10"/>
      <c r="Q346" s="3">
        <v>0.99</v>
      </c>
      <c r="V346" s="3">
        <v>0</v>
      </c>
    </row>
    <row r="347" spans="1:22" x14ac:dyDescent="0.3">
      <c r="A347" s="1">
        <v>346</v>
      </c>
      <c r="B347" s="96">
        <v>27.165354399999998</v>
      </c>
      <c r="C347" s="96">
        <v>344.738</v>
      </c>
      <c r="D347" s="3">
        <v>2</v>
      </c>
      <c r="E347" s="3">
        <v>203.2</v>
      </c>
      <c r="F347" s="3">
        <v>203.2</v>
      </c>
      <c r="G347" s="3">
        <v>171.50099999999998</v>
      </c>
      <c r="H347" s="3">
        <v>81.025999999999996</v>
      </c>
      <c r="I347" s="3">
        <v>22.25</v>
      </c>
      <c r="J347" s="101">
        <f t="shared" si="19"/>
        <v>777.24812500000007</v>
      </c>
      <c r="K347">
        <f t="shared" si="20"/>
        <v>9.8078567147228597</v>
      </c>
      <c r="L347">
        <f t="shared" si="21"/>
        <v>1.8824015675375103E-2</v>
      </c>
      <c r="M347" s="3">
        <v>20.574000000000002</v>
      </c>
      <c r="N347" s="3">
        <v>0.23114000000000001</v>
      </c>
      <c r="O347" s="10"/>
      <c r="Q347" s="3">
        <v>0.99</v>
      </c>
      <c r="V347" s="3">
        <v>0</v>
      </c>
    </row>
    <row r="348" spans="1:22" x14ac:dyDescent="0.3">
      <c r="A348" s="1">
        <v>347</v>
      </c>
      <c r="B348" s="96">
        <v>27.165354399999998</v>
      </c>
      <c r="C348" s="96">
        <v>344.738</v>
      </c>
      <c r="D348" s="3">
        <v>2</v>
      </c>
      <c r="E348" s="3">
        <v>203.2</v>
      </c>
      <c r="F348" s="3">
        <v>406.4</v>
      </c>
      <c r="G348" s="3">
        <v>311.20099999999996</v>
      </c>
      <c r="H348" s="3">
        <v>17.525999999999996</v>
      </c>
      <c r="I348" s="3">
        <v>22.25</v>
      </c>
      <c r="J348" s="101">
        <f t="shared" si="19"/>
        <v>777.24812500000007</v>
      </c>
      <c r="K348">
        <f t="shared" si="20"/>
        <v>3.2657827288101764</v>
      </c>
      <c r="L348">
        <f t="shared" si="21"/>
        <v>9.4120078376875513E-3</v>
      </c>
      <c r="M348" s="3">
        <v>84.073999999999998</v>
      </c>
      <c r="N348" s="3">
        <v>0.33019999999999999</v>
      </c>
      <c r="O348" s="10"/>
      <c r="Q348" s="3">
        <v>1.18</v>
      </c>
      <c r="V348" s="3">
        <v>0</v>
      </c>
    </row>
    <row r="349" spans="1:22" x14ac:dyDescent="0.3">
      <c r="A349" s="1">
        <v>348</v>
      </c>
      <c r="B349" s="96">
        <v>27.165354399999998</v>
      </c>
      <c r="C349" s="96">
        <v>344.738</v>
      </c>
      <c r="D349" s="3">
        <v>2</v>
      </c>
      <c r="E349" s="3">
        <v>203.2</v>
      </c>
      <c r="F349" s="3">
        <v>406.4</v>
      </c>
      <c r="G349" s="3">
        <v>311.20099999999996</v>
      </c>
      <c r="H349" s="3">
        <v>17.525999999999996</v>
      </c>
      <c r="I349" s="3">
        <v>22.25</v>
      </c>
      <c r="J349" s="101">
        <f t="shared" si="19"/>
        <v>777.24812500000007</v>
      </c>
      <c r="K349">
        <f t="shared" si="20"/>
        <v>3.2657827288101764</v>
      </c>
      <c r="L349">
        <f t="shared" si="21"/>
        <v>9.4120078376875513E-3</v>
      </c>
      <c r="M349" s="3">
        <v>84.073999999999998</v>
      </c>
      <c r="N349" s="3">
        <v>0.38099999999999995</v>
      </c>
      <c r="O349" s="10"/>
      <c r="Q349" s="3">
        <v>1.18</v>
      </c>
    </row>
    <row r="350" spans="1:22" x14ac:dyDescent="0.3">
      <c r="A350" s="1">
        <v>349</v>
      </c>
      <c r="B350" s="55">
        <v>31.371157999999998</v>
      </c>
      <c r="C350" s="55">
        <v>275.79039999999998</v>
      </c>
      <c r="D350" s="55">
        <v>8</v>
      </c>
      <c r="E350" s="55">
        <v>203.2</v>
      </c>
      <c r="F350" s="55">
        <v>406.4</v>
      </c>
      <c r="G350" s="55">
        <v>345.94799999999998</v>
      </c>
      <c r="H350" s="13">
        <v>11.874499999999999</v>
      </c>
      <c r="I350" s="55">
        <v>12.7</v>
      </c>
      <c r="J350" s="101">
        <f t="shared" si="19"/>
        <v>1012.9011999999999</v>
      </c>
      <c r="K350">
        <f t="shared" si="20"/>
        <v>6.7021848739495793</v>
      </c>
      <c r="L350">
        <f t="shared" si="21"/>
        <v>1.2265624999999999E-2</v>
      </c>
      <c r="M350" s="55">
        <v>54.101999999999997</v>
      </c>
      <c r="N350" s="97">
        <v>0.18034</v>
      </c>
      <c r="O350" s="135" t="s">
        <v>35</v>
      </c>
      <c r="Q350" s="13"/>
    </row>
    <row r="351" spans="1:22" x14ac:dyDescent="0.3">
      <c r="A351" s="1">
        <v>350</v>
      </c>
      <c r="B351" s="55">
        <v>24.752188399999998</v>
      </c>
      <c r="C351" s="55">
        <v>275.79039999999998</v>
      </c>
      <c r="D351" s="55">
        <v>8</v>
      </c>
      <c r="E351" s="55">
        <v>203.2</v>
      </c>
      <c r="F351" s="55">
        <v>406.4</v>
      </c>
      <c r="G351" s="55">
        <v>345.94799999999998</v>
      </c>
      <c r="H351" s="13">
        <v>11.874499999999999</v>
      </c>
      <c r="I351" s="55">
        <v>12.7</v>
      </c>
      <c r="J351" s="101">
        <f t="shared" si="19"/>
        <v>1012.9011999999999</v>
      </c>
      <c r="K351">
        <f t="shared" si="20"/>
        <v>6.7021848739495793</v>
      </c>
      <c r="L351">
        <f t="shared" si="21"/>
        <v>1.2265624999999999E-2</v>
      </c>
      <c r="M351" s="55">
        <v>54.101999999999997</v>
      </c>
      <c r="N351" s="97">
        <v>7.6199999999999992E-3</v>
      </c>
      <c r="O351" s="135"/>
      <c r="Q351" s="13"/>
    </row>
    <row r="352" spans="1:22" x14ac:dyDescent="0.3">
      <c r="A352" s="1">
        <v>351</v>
      </c>
      <c r="B352" s="55">
        <v>27.923777999999999</v>
      </c>
      <c r="C352" s="55">
        <v>275.79039999999998</v>
      </c>
      <c r="D352" s="55">
        <v>8</v>
      </c>
      <c r="E352" s="55">
        <v>406.4</v>
      </c>
      <c r="F352" s="55">
        <v>406.4</v>
      </c>
      <c r="G352" s="55">
        <v>345.94799999999998</v>
      </c>
      <c r="H352" s="13">
        <v>37.274499999999996</v>
      </c>
      <c r="I352" s="55">
        <v>12.7</v>
      </c>
      <c r="J352" s="101">
        <f t="shared" si="19"/>
        <v>1012.9011999999999</v>
      </c>
      <c r="K352">
        <f t="shared" si="20"/>
        <v>6.7021848739495793</v>
      </c>
      <c r="L352">
        <f t="shared" si="21"/>
        <v>6.1328124999999994E-3</v>
      </c>
      <c r="M352" s="55">
        <v>54.101999999999997</v>
      </c>
      <c r="N352" s="97">
        <v>0.20573999999999998</v>
      </c>
      <c r="O352" s="135"/>
      <c r="Q352" s="13"/>
    </row>
    <row r="353" spans="1:17" x14ac:dyDescent="0.3">
      <c r="A353" s="1">
        <v>352</v>
      </c>
      <c r="B353" s="55">
        <v>30.7506296</v>
      </c>
      <c r="C353" s="55">
        <v>275.79039999999998</v>
      </c>
      <c r="D353" s="55">
        <v>8</v>
      </c>
      <c r="E353" s="55">
        <v>406.4</v>
      </c>
      <c r="F353" s="55">
        <v>406.4</v>
      </c>
      <c r="G353" s="55">
        <v>345.94799999999998</v>
      </c>
      <c r="H353" s="13">
        <v>37.274499999999996</v>
      </c>
      <c r="I353" s="55">
        <v>12.7</v>
      </c>
      <c r="J353" s="101">
        <f t="shared" si="19"/>
        <v>1012.9011999999999</v>
      </c>
      <c r="K353">
        <f t="shared" si="20"/>
        <v>6.7021848739495793</v>
      </c>
      <c r="L353">
        <f t="shared" si="21"/>
        <v>6.1328124999999994E-3</v>
      </c>
      <c r="M353" s="55">
        <v>54.101999999999997</v>
      </c>
      <c r="N353" s="97">
        <v>0.29718</v>
      </c>
      <c r="O353" s="135"/>
      <c r="Q353" s="13"/>
    </row>
    <row r="354" spans="1:17" x14ac:dyDescent="0.3">
      <c r="A354" s="1">
        <v>353</v>
      </c>
      <c r="B354" s="55">
        <v>25.924297599999999</v>
      </c>
      <c r="C354" s="55">
        <v>275.79039999999998</v>
      </c>
      <c r="D354" s="55">
        <v>8</v>
      </c>
      <c r="E354" s="55">
        <v>406.4</v>
      </c>
      <c r="F354" s="55">
        <v>406.4</v>
      </c>
      <c r="G354" s="55">
        <v>345.94799999999998</v>
      </c>
      <c r="H354" s="13">
        <v>37.274499999999996</v>
      </c>
      <c r="I354" s="55">
        <v>12.7</v>
      </c>
      <c r="J354" s="101">
        <f t="shared" si="19"/>
        <v>1012.9011999999999</v>
      </c>
      <c r="K354">
        <f t="shared" si="20"/>
        <v>6.7021848739495793</v>
      </c>
      <c r="L354">
        <f t="shared" si="21"/>
        <v>6.1328124999999994E-3</v>
      </c>
      <c r="M354" s="55">
        <v>54.101999999999997</v>
      </c>
      <c r="N354" s="97">
        <v>0.28955999999999998</v>
      </c>
      <c r="O354" s="135"/>
      <c r="Q354" s="13"/>
    </row>
    <row r="355" spans="1:17" x14ac:dyDescent="0.3">
      <c r="A355" s="1">
        <v>354</v>
      </c>
      <c r="B355" s="55">
        <v>27.303249600000001</v>
      </c>
      <c r="C355" s="55">
        <v>275.79039999999998</v>
      </c>
      <c r="D355" s="55">
        <v>8</v>
      </c>
      <c r="E355" s="55">
        <v>406.4</v>
      </c>
      <c r="F355" s="55">
        <v>387.34999999999997</v>
      </c>
      <c r="G355" s="55">
        <v>345.94799999999998</v>
      </c>
      <c r="H355" s="13">
        <v>42.036999999999999</v>
      </c>
      <c r="I355" s="55">
        <v>12.7</v>
      </c>
      <c r="J355" s="101">
        <f t="shared" si="19"/>
        <v>1012.9011999999999</v>
      </c>
      <c r="K355">
        <f t="shared" si="20"/>
        <v>9.7860122699386523</v>
      </c>
      <c r="L355">
        <f t="shared" si="21"/>
        <v>6.4344262295081972E-3</v>
      </c>
      <c r="M355" s="55">
        <v>35.051999999999992</v>
      </c>
      <c r="N355" s="97">
        <v>0.22352</v>
      </c>
      <c r="O355" s="135"/>
      <c r="Q355" s="13"/>
    </row>
    <row r="356" spans="1:17" x14ac:dyDescent="0.3">
      <c r="A356" s="1">
        <v>355</v>
      </c>
      <c r="B356" s="55">
        <v>28.7511492</v>
      </c>
      <c r="C356" s="55">
        <v>275.79039999999998</v>
      </c>
      <c r="D356" s="55">
        <v>8</v>
      </c>
      <c r="E356" s="55">
        <v>406.4</v>
      </c>
      <c r="F356" s="55">
        <v>406.4</v>
      </c>
      <c r="G356" s="55">
        <v>345.94799999999998</v>
      </c>
      <c r="H356" s="13">
        <v>37.274499999999996</v>
      </c>
      <c r="I356" s="55">
        <v>12.7</v>
      </c>
      <c r="J356" s="101">
        <f t="shared" si="19"/>
        <v>1012.9011999999999</v>
      </c>
      <c r="K356">
        <f t="shared" si="20"/>
        <v>6.7021848739495793</v>
      </c>
      <c r="L356">
        <f t="shared" si="21"/>
        <v>6.1328124999999994E-3</v>
      </c>
      <c r="M356" s="55">
        <v>54.101999999999997</v>
      </c>
      <c r="N356" s="97">
        <v>0.33527999999999997</v>
      </c>
      <c r="O356" s="135"/>
      <c r="Q356" s="13"/>
    </row>
    <row r="357" spans="1:17" x14ac:dyDescent="0.3">
      <c r="A357" s="1">
        <v>356</v>
      </c>
      <c r="B357" s="55">
        <v>27.716935199999998</v>
      </c>
      <c r="C357" s="55">
        <v>275.79039999999998</v>
      </c>
      <c r="D357" s="55">
        <v>3</v>
      </c>
      <c r="E357" s="55">
        <v>406.4</v>
      </c>
      <c r="F357" s="55">
        <v>203.2</v>
      </c>
      <c r="G357" s="55">
        <v>152.273</v>
      </c>
      <c r="H357" s="13">
        <v>107.86533333333334</v>
      </c>
      <c r="I357" s="55">
        <v>19.05</v>
      </c>
      <c r="J357" s="101">
        <f t="shared" si="19"/>
        <v>854.63538749999998</v>
      </c>
      <c r="K357">
        <f t="shared" si="20"/>
        <v>6.7126309226932674</v>
      </c>
      <c r="L357">
        <f t="shared" si="21"/>
        <v>1.034912109375E-2</v>
      </c>
      <c r="M357" s="55">
        <v>41.401999999999994</v>
      </c>
      <c r="N357" s="97">
        <v>0.32003999999999999</v>
      </c>
      <c r="O357" s="135"/>
      <c r="Q357" s="13"/>
    </row>
    <row r="358" spans="1:17" x14ac:dyDescent="0.3">
      <c r="A358" s="1">
        <v>357</v>
      </c>
      <c r="B358" s="55">
        <v>26.6827212</v>
      </c>
      <c r="C358" s="55">
        <v>275.79039999999998</v>
      </c>
      <c r="D358" s="55">
        <v>3</v>
      </c>
      <c r="E358" s="55">
        <v>406.4</v>
      </c>
      <c r="F358" s="55">
        <v>203.2</v>
      </c>
      <c r="G358" s="55">
        <v>152.4</v>
      </c>
      <c r="H358" s="13">
        <v>105.83333333333333</v>
      </c>
      <c r="I358" s="55">
        <v>12.7</v>
      </c>
      <c r="J358" s="101">
        <f t="shared" si="19"/>
        <v>379.83794999999992</v>
      </c>
      <c r="K358">
        <f t="shared" si="20"/>
        <v>2.9908500000000005</v>
      </c>
      <c r="L358">
        <f t="shared" si="21"/>
        <v>4.5996093749999991E-3</v>
      </c>
      <c r="M358" s="55">
        <v>44.449999999999996</v>
      </c>
      <c r="N358" s="97">
        <v>0.36321999999999999</v>
      </c>
      <c r="O358" s="135"/>
      <c r="Q358" s="13"/>
    </row>
    <row r="359" spans="1:17" x14ac:dyDescent="0.3">
      <c r="A359" s="1">
        <v>358</v>
      </c>
      <c r="B359" s="55">
        <v>30.4058916</v>
      </c>
      <c r="C359" s="55">
        <v>275.79039999999998</v>
      </c>
      <c r="D359" s="55">
        <v>3</v>
      </c>
      <c r="E359" s="55">
        <v>406.4</v>
      </c>
      <c r="F359" s="55">
        <v>203.2</v>
      </c>
      <c r="G359" s="55">
        <v>152.27199999999999</v>
      </c>
      <c r="H359" s="13">
        <v>112.26799999999999</v>
      </c>
      <c r="I359" s="55">
        <v>32.26</v>
      </c>
      <c r="J359" s="101">
        <f t="shared" si="19"/>
        <v>2450.8663979999997</v>
      </c>
      <c r="K359">
        <f t="shared" si="20"/>
        <v>19.24965754005655</v>
      </c>
      <c r="L359">
        <f t="shared" si="21"/>
        <v>2.9678519645320537E-2</v>
      </c>
      <c r="M359" s="55">
        <v>34.798000000000002</v>
      </c>
      <c r="N359" s="97">
        <v>0.34289999999999998</v>
      </c>
      <c r="O359" s="135"/>
      <c r="Q359" s="13"/>
    </row>
    <row r="360" spans="1:17" x14ac:dyDescent="0.3">
      <c r="A360" s="1">
        <v>359</v>
      </c>
      <c r="B360" s="55">
        <v>28.1995684</v>
      </c>
      <c r="C360" s="55">
        <v>275.79039999999998</v>
      </c>
      <c r="D360" s="55">
        <v>2</v>
      </c>
      <c r="E360" s="55">
        <v>406.4</v>
      </c>
      <c r="F360" s="55">
        <v>203.2</v>
      </c>
      <c r="G360" s="55">
        <v>152.27199999999999</v>
      </c>
      <c r="H360" s="13">
        <v>168.40199999999999</v>
      </c>
      <c r="I360" s="55">
        <v>32.26</v>
      </c>
      <c r="J360" s="101">
        <f t="shared" si="19"/>
        <v>1633.9109319999998</v>
      </c>
      <c r="K360">
        <f t="shared" si="20"/>
        <v>12.833105026704366</v>
      </c>
      <c r="L360">
        <f t="shared" si="21"/>
        <v>1.9785679763547025E-2</v>
      </c>
      <c r="M360" s="55">
        <v>34.798000000000002</v>
      </c>
      <c r="N360" s="55">
        <v>0.34543999999999997</v>
      </c>
      <c r="O360" s="136"/>
      <c r="Q360" s="13"/>
    </row>
    <row r="361" spans="1:17" x14ac:dyDescent="0.3">
      <c r="A361" s="1">
        <v>360</v>
      </c>
      <c r="B361" s="55">
        <v>34.404852399999996</v>
      </c>
      <c r="C361" s="55">
        <v>275.79039999999998</v>
      </c>
      <c r="D361" s="55">
        <v>5</v>
      </c>
      <c r="E361" s="13">
        <v>304.79999999999995</v>
      </c>
      <c r="F361" s="3">
        <v>165.1</v>
      </c>
      <c r="G361" s="3">
        <v>160.21299999999999</v>
      </c>
      <c r="H361" s="13">
        <v>59.639199999999995</v>
      </c>
      <c r="I361" s="55">
        <v>3.17</v>
      </c>
      <c r="J361" s="101">
        <f t="shared" si="19"/>
        <v>39.4419325</v>
      </c>
      <c r="K361">
        <f t="shared" si="20"/>
        <v>3.2283145078780433</v>
      </c>
      <c r="L361">
        <f t="shared" si="21"/>
        <v>7.8378355955429876E-4</v>
      </c>
      <c r="M361" s="55">
        <v>3.302</v>
      </c>
      <c r="N361" s="97">
        <v>0.16383</v>
      </c>
      <c r="O361" s="10" t="s">
        <v>19</v>
      </c>
      <c r="Q361" s="13">
        <v>7.8378355955429871E-2</v>
      </c>
    </row>
    <row r="362" spans="1:17" x14ac:dyDescent="0.3">
      <c r="A362" s="1">
        <v>361</v>
      </c>
      <c r="B362" s="55">
        <v>31.164315199999997</v>
      </c>
      <c r="C362" s="55">
        <v>275.79039999999998</v>
      </c>
      <c r="D362" s="55">
        <v>3</v>
      </c>
      <c r="E362" s="13">
        <v>304.79999999999995</v>
      </c>
      <c r="F362" s="3">
        <v>174.625</v>
      </c>
      <c r="G362" s="3">
        <v>162.81399999999999</v>
      </c>
      <c r="H362" s="13">
        <v>95.842666666666659</v>
      </c>
      <c r="I362" s="55">
        <v>6.35</v>
      </c>
      <c r="J362" s="101">
        <f t="shared" si="19"/>
        <v>94.95948749999998</v>
      </c>
      <c r="K362">
        <f t="shared" si="20"/>
        <v>3.2159677419354811</v>
      </c>
      <c r="L362">
        <f t="shared" si="21"/>
        <v>1.784090909090909E-3</v>
      </c>
      <c r="M362" s="55">
        <v>8.636000000000001</v>
      </c>
      <c r="N362" s="97">
        <v>0.29463999999999996</v>
      </c>
      <c r="O362" s="10"/>
      <c r="Q362" s="13">
        <v>0.17840909090909093</v>
      </c>
    </row>
    <row r="363" spans="1:17" x14ac:dyDescent="0.3">
      <c r="A363" s="1">
        <v>362</v>
      </c>
      <c r="B363" s="55">
        <v>30.474839199999998</v>
      </c>
      <c r="C363" s="55">
        <v>275.79039999999998</v>
      </c>
      <c r="D363" s="55">
        <v>5</v>
      </c>
      <c r="E363" s="13">
        <v>304.79999999999995</v>
      </c>
      <c r="F363" s="3">
        <v>177.79999999999998</v>
      </c>
      <c r="G363" s="3">
        <v>166.81699999999998</v>
      </c>
      <c r="H363" s="13">
        <v>57.200799999999994</v>
      </c>
      <c r="I363" s="55">
        <v>3.17</v>
      </c>
      <c r="J363" s="101">
        <f t="shared" si="19"/>
        <v>39.4419325</v>
      </c>
      <c r="K363">
        <f t="shared" si="20"/>
        <v>1.436472093234999</v>
      </c>
      <c r="L363">
        <f t="shared" si="21"/>
        <v>7.2779901958613458E-4</v>
      </c>
      <c r="M363" s="55">
        <v>9.3979999999999997</v>
      </c>
      <c r="N363" s="97">
        <v>0.36321999999999999</v>
      </c>
      <c r="O363" s="10"/>
      <c r="Q363" s="13">
        <v>7.277990195861346E-2</v>
      </c>
    </row>
    <row r="364" spans="1:17" x14ac:dyDescent="0.3">
      <c r="A364" s="1">
        <v>363</v>
      </c>
      <c r="B364" s="55">
        <v>39.7827652</v>
      </c>
      <c r="C364" s="55">
        <v>275.79039999999998</v>
      </c>
      <c r="D364" s="55">
        <v>3</v>
      </c>
      <c r="E364" s="13">
        <v>304.79999999999995</v>
      </c>
      <c r="F364" s="3">
        <v>165.1</v>
      </c>
      <c r="G364" s="3">
        <v>153.28899999999999</v>
      </c>
      <c r="H364" s="13">
        <v>95.842666666666659</v>
      </c>
      <c r="I364" s="55">
        <v>6.35</v>
      </c>
      <c r="J364" s="101">
        <f t="shared" si="19"/>
        <v>94.95948749999998</v>
      </c>
      <c r="K364">
        <f t="shared" si="20"/>
        <v>3.2159677419354811</v>
      </c>
      <c r="L364">
        <f t="shared" si="21"/>
        <v>1.8870192307692307E-3</v>
      </c>
      <c r="M364" s="55">
        <v>8.636000000000001</v>
      </c>
      <c r="N364" s="97">
        <v>0.11557000000000001</v>
      </c>
      <c r="O364" s="10"/>
      <c r="Q364" s="13">
        <v>0.18870192307692313</v>
      </c>
    </row>
    <row r="365" spans="1:17" x14ac:dyDescent="0.3">
      <c r="A365" s="1">
        <v>364</v>
      </c>
      <c r="B365" s="55">
        <v>27.9927256</v>
      </c>
      <c r="C365" s="55">
        <v>275.79039999999998</v>
      </c>
      <c r="D365" s="55">
        <v>4</v>
      </c>
      <c r="E365" s="13">
        <v>304.79999999999995</v>
      </c>
      <c r="F365" s="3">
        <v>168.27499999999998</v>
      </c>
      <c r="G365" s="3">
        <v>156.46399999999997</v>
      </c>
      <c r="H365" s="13">
        <v>71.881999999999991</v>
      </c>
      <c r="I365" s="55">
        <v>6.35</v>
      </c>
      <c r="J365" s="101">
        <f t="shared" si="19"/>
        <v>126.61264999999999</v>
      </c>
      <c r="K365">
        <f t="shared" si="20"/>
        <v>4.2879569892473093</v>
      </c>
      <c r="L365">
        <f t="shared" si="21"/>
        <v>2.4685534591194973E-3</v>
      </c>
      <c r="M365" s="55">
        <v>8.636000000000001</v>
      </c>
      <c r="N365" s="97">
        <v>0.32512000000000002</v>
      </c>
      <c r="O365" s="10"/>
      <c r="Q365" s="13">
        <v>0.24685534591194977</v>
      </c>
    </row>
    <row r="366" spans="1:17" x14ac:dyDescent="0.3">
      <c r="A366" s="1">
        <v>365</v>
      </c>
      <c r="B366" s="55">
        <v>27.4411448</v>
      </c>
      <c r="C366" s="55">
        <v>275.79039999999998</v>
      </c>
      <c r="D366" s="55">
        <v>3</v>
      </c>
      <c r="E366" s="13">
        <v>304.79999999999995</v>
      </c>
      <c r="F366" s="3">
        <v>165.1</v>
      </c>
      <c r="G366" s="3">
        <v>150.68550000000002</v>
      </c>
      <c r="H366" s="13">
        <v>95.165333333333322</v>
      </c>
      <c r="I366" s="55">
        <v>9.5250000000000004</v>
      </c>
      <c r="J366" s="101">
        <f t="shared" si="19"/>
        <v>213.65884687499999</v>
      </c>
      <c r="K366">
        <f t="shared" si="20"/>
        <v>5.9289977973568382</v>
      </c>
      <c r="L366">
        <f t="shared" si="21"/>
        <v>4.2457932692307699E-3</v>
      </c>
      <c r="M366" s="55">
        <v>9.6519999999999992</v>
      </c>
      <c r="N366" s="97">
        <v>0.14223999999999998</v>
      </c>
      <c r="O366" s="10"/>
      <c r="Q366" s="13">
        <v>0.42457932692307709</v>
      </c>
    </row>
    <row r="367" spans="1:17" x14ac:dyDescent="0.3">
      <c r="A367" s="1">
        <v>366</v>
      </c>
      <c r="B367" s="55">
        <v>36.955913600000002</v>
      </c>
      <c r="C367" s="55">
        <v>275.79039999999998</v>
      </c>
      <c r="D367" s="55">
        <v>5</v>
      </c>
      <c r="E367" s="13">
        <v>279.39999999999998</v>
      </c>
      <c r="F367" s="3">
        <v>165.1</v>
      </c>
      <c r="G367" s="3">
        <v>150.68550000000002</v>
      </c>
      <c r="H367" s="13">
        <v>52.019199999999998</v>
      </c>
      <c r="I367" s="55">
        <v>9.5250000000000004</v>
      </c>
      <c r="J367" s="101">
        <f t="shared" si="19"/>
        <v>356.09807812500003</v>
      </c>
      <c r="K367">
        <f t="shared" si="20"/>
        <v>9.8816629955947306</v>
      </c>
      <c r="L367">
        <f t="shared" si="21"/>
        <v>7.7196241258741275E-3</v>
      </c>
      <c r="M367" s="55">
        <v>9.6519999999999992</v>
      </c>
      <c r="N367" s="97">
        <v>0.22097999999999998</v>
      </c>
      <c r="O367" s="10"/>
      <c r="Q367" s="13">
        <v>0.77196241258741272</v>
      </c>
    </row>
    <row r="368" spans="1:17" x14ac:dyDescent="0.3">
      <c r="A368" s="1">
        <v>367</v>
      </c>
      <c r="B368" s="55">
        <v>34.542747599999998</v>
      </c>
      <c r="C368" s="55">
        <v>275.79039999999998</v>
      </c>
      <c r="D368" s="55">
        <v>5</v>
      </c>
      <c r="E368" s="13">
        <v>317.5</v>
      </c>
      <c r="F368" s="3">
        <v>171.45</v>
      </c>
      <c r="G368" s="3">
        <v>155.51150000000001</v>
      </c>
      <c r="H368" s="13">
        <v>59.029600000000002</v>
      </c>
      <c r="I368" s="55">
        <v>9.5250000000000004</v>
      </c>
      <c r="J368" s="101">
        <f t="shared" si="19"/>
        <v>356.09807812500003</v>
      </c>
      <c r="K368">
        <f t="shared" si="20"/>
        <v>8.936802788844636</v>
      </c>
      <c r="L368">
        <f t="shared" si="21"/>
        <v>6.541666666666667E-3</v>
      </c>
      <c r="M368" s="55">
        <v>11.176</v>
      </c>
      <c r="N368" s="97">
        <v>0.11887199999999999</v>
      </c>
      <c r="O368" s="10"/>
      <c r="Q368" s="13">
        <v>0.65416666666666667</v>
      </c>
    </row>
    <row r="369" spans="1:17" x14ac:dyDescent="0.3">
      <c r="A369" s="1">
        <v>368</v>
      </c>
      <c r="B369" s="55">
        <v>30.474839199999998</v>
      </c>
      <c r="C369" s="55">
        <v>275.79039999999998</v>
      </c>
      <c r="D369" s="55">
        <v>5</v>
      </c>
      <c r="E369" s="13">
        <v>304.79999999999995</v>
      </c>
      <c r="F369" s="3">
        <v>171.45</v>
      </c>
      <c r="G369" s="3">
        <v>157.16499999999999</v>
      </c>
      <c r="H369" s="13">
        <v>55.879999999999995</v>
      </c>
      <c r="I369" s="55">
        <v>3.17</v>
      </c>
      <c r="J369" s="101">
        <f t="shared" si="19"/>
        <v>39.4419325</v>
      </c>
      <c r="K369">
        <f t="shared" si="20"/>
        <v>1.1044293314665736</v>
      </c>
      <c r="L369">
        <f t="shared" si="21"/>
        <v>7.5475453883006548E-4</v>
      </c>
      <c r="M369" s="55">
        <v>12.7</v>
      </c>
      <c r="N369" s="97">
        <v>0.30733999999999995</v>
      </c>
      <c r="O369" s="10"/>
      <c r="Q369" s="13">
        <v>7.5475453883006555E-2</v>
      </c>
    </row>
    <row r="370" spans="1:17" x14ac:dyDescent="0.3">
      <c r="A370" s="1">
        <v>369</v>
      </c>
      <c r="B370" s="55">
        <v>39.369079599999999</v>
      </c>
      <c r="C370" s="55">
        <v>275.79039999999998</v>
      </c>
      <c r="D370" s="55">
        <v>5</v>
      </c>
      <c r="E370" s="13">
        <v>330.2</v>
      </c>
      <c r="F370" s="3">
        <v>165.1</v>
      </c>
      <c r="G370" s="3">
        <v>138.49350000000001</v>
      </c>
      <c r="H370" s="13">
        <v>57.302399999999999</v>
      </c>
      <c r="I370" s="55">
        <v>9.5250000000000004</v>
      </c>
      <c r="J370" s="101">
        <f t="shared" si="19"/>
        <v>356.09807812500003</v>
      </c>
      <c r="K370">
        <f t="shared" si="20"/>
        <v>5.3535501193317465</v>
      </c>
      <c r="L370">
        <f t="shared" si="21"/>
        <v>6.5319896449704149E-3</v>
      </c>
      <c r="M370" s="55">
        <v>21.843999999999998</v>
      </c>
      <c r="N370" s="97">
        <v>0.25247599999999998</v>
      </c>
      <c r="O370" s="10"/>
      <c r="Q370" s="13">
        <v>0.65319896449704151</v>
      </c>
    </row>
    <row r="371" spans="1:17" x14ac:dyDescent="0.3">
      <c r="A371" s="1">
        <v>370</v>
      </c>
      <c r="B371" s="55">
        <v>27.9927256</v>
      </c>
      <c r="C371" s="55">
        <v>275.79039999999998</v>
      </c>
      <c r="D371" s="55">
        <v>3</v>
      </c>
      <c r="E371" s="13">
        <v>304.79999999999995</v>
      </c>
      <c r="F371" s="3">
        <v>165.1</v>
      </c>
      <c r="G371" s="3">
        <v>115.18900000000001</v>
      </c>
      <c r="H371" s="13">
        <v>70.442666666666653</v>
      </c>
      <c r="I371" s="55">
        <v>6.35</v>
      </c>
      <c r="J371" s="101">
        <f t="shared" si="19"/>
        <v>94.95948749999998</v>
      </c>
      <c r="K371">
        <f t="shared" si="20"/>
        <v>0.76103053435114498</v>
      </c>
      <c r="L371">
        <f t="shared" si="21"/>
        <v>1.8870192307692307E-3</v>
      </c>
      <c r="M371" s="55">
        <v>46.735999999999997</v>
      </c>
      <c r="N371" s="97">
        <v>0.18592799999999998</v>
      </c>
      <c r="O371" s="10"/>
      <c r="Q371" s="13">
        <v>0.18870192307692313</v>
      </c>
    </row>
    <row r="372" spans="1:17" x14ac:dyDescent="0.3">
      <c r="A372" s="1">
        <v>371</v>
      </c>
      <c r="B372" s="55">
        <v>34.473799999999997</v>
      </c>
      <c r="C372" s="55">
        <v>275.79039999999998</v>
      </c>
      <c r="D372" s="55">
        <v>3</v>
      </c>
      <c r="E372" s="13">
        <v>304.79999999999995</v>
      </c>
      <c r="F372" s="3">
        <v>165.1</v>
      </c>
      <c r="G372" s="3">
        <v>102.489</v>
      </c>
      <c r="H372" s="13">
        <v>61.975999999999992</v>
      </c>
      <c r="I372" s="55">
        <v>6.35</v>
      </c>
      <c r="J372" s="101">
        <f t="shared" si="19"/>
        <v>94.95948749999998</v>
      </c>
      <c r="K372">
        <f t="shared" si="20"/>
        <v>0.60666328600405672</v>
      </c>
      <c r="L372">
        <f t="shared" si="21"/>
        <v>1.8870192307692307E-3</v>
      </c>
      <c r="M372" s="55">
        <v>59.435999999999993</v>
      </c>
      <c r="N372" s="97">
        <v>0.12953999999999999</v>
      </c>
      <c r="O372" s="10"/>
      <c r="Q372" s="13">
        <v>0.18870192307692313</v>
      </c>
    </row>
    <row r="373" spans="1:17" x14ac:dyDescent="0.3">
      <c r="A373" s="1">
        <v>372</v>
      </c>
      <c r="B373" s="55">
        <v>39.300131999999998</v>
      </c>
      <c r="C373" s="55">
        <v>275.79039999999998</v>
      </c>
      <c r="D373" s="55">
        <v>5</v>
      </c>
      <c r="E373" s="13">
        <v>311.14999999999998</v>
      </c>
      <c r="F373" s="3">
        <v>161.92499999999998</v>
      </c>
      <c r="G373" s="3">
        <v>93.916499999999971</v>
      </c>
      <c r="H373" s="13">
        <v>36.931599999999989</v>
      </c>
      <c r="I373" s="55">
        <v>9.5250000000000004</v>
      </c>
      <c r="J373" s="101">
        <f t="shared" si="19"/>
        <v>356.09807812500003</v>
      </c>
      <c r="K373">
        <f t="shared" si="20"/>
        <v>2.0944327731092436</v>
      </c>
      <c r="L373">
        <f t="shared" si="21"/>
        <v>7.0678271308523433E-3</v>
      </c>
      <c r="M373" s="55">
        <v>63.246000000000002</v>
      </c>
      <c r="N373" s="55">
        <v>8.6359999999999992E-2</v>
      </c>
      <c r="O373" s="10"/>
      <c r="Q373" s="13">
        <v>0.70678271308523433</v>
      </c>
    </row>
    <row r="374" spans="1:17" x14ac:dyDescent="0.3">
      <c r="A374" s="1">
        <v>373</v>
      </c>
      <c r="B374" s="55">
        <v>34.404852399999996</v>
      </c>
      <c r="C374" s="55">
        <v>275.79039999999998</v>
      </c>
      <c r="D374" s="55">
        <v>5</v>
      </c>
      <c r="E374" s="13">
        <v>304.79999999999995</v>
      </c>
      <c r="F374" s="3">
        <v>177.79999999999998</v>
      </c>
      <c r="G374" s="3">
        <v>103.31699999999999</v>
      </c>
      <c r="H374" s="13">
        <v>31.800799999999992</v>
      </c>
      <c r="I374" s="55">
        <v>3.17</v>
      </c>
      <c r="J374" s="101">
        <f t="shared" si="19"/>
        <v>39.4419325</v>
      </c>
      <c r="K374">
        <f t="shared" si="20"/>
        <v>0.2118170992038452</v>
      </c>
      <c r="L374">
        <f t="shared" si="21"/>
        <v>7.2779901958613458E-4</v>
      </c>
      <c r="M374" s="55">
        <v>72.897999999999996</v>
      </c>
      <c r="N374" s="55">
        <v>0.37845999999999996</v>
      </c>
      <c r="O374" s="10"/>
      <c r="Q374" s="13">
        <v>7.277990195861346E-2</v>
      </c>
    </row>
    <row r="375" spans="1:17" x14ac:dyDescent="0.3">
      <c r="A375" s="1">
        <v>374</v>
      </c>
      <c r="B375" s="55">
        <v>36.955913600000002</v>
      </c>
      <c r="C375" s="55">
        <v>275.79039999999998</v>
      </c>
      <c r="D375" s="55">
        <v>3</v>
      </c>
      <c r="E375" s="13">
        <v>304.79999999999995</v>
      </c>
      <c r="F375" s="3">
        <v>174.625</v>
      </c>
      <c r="G375" s="3">
        <v>77.914500000000004</v>
      </c>
      <c r="H375" s="13">
        <v>40.301333333333325</v>
      </c>
      <c r="I375" s="55">
        <v>9.5250000000000004</v>
      </c>
      <c r="J375" s="101">
        <f t="shared" si="19"/>
        <v>213.65884687499999</v>
      </c>
      <c r="K375">
        <f t="shared" si="20"/>
        <v>0.88370485883125405</v>
      </c>
      <c r="L375">
        <f t="shared" si="21"/>
        <v>4.0142045454545465E-3</v>
      </c>
      <c r="M375" s="55">
        <v>91.947999999999993</v>
      </c>
      <c r="N375" s="55">
        <v>0.40893999999999997</v>
      </c>
      <c r="O375" s="10"/>
      <c r="Q375" s="13">
        <v>0.40142045454545466</v>
      </c>
    </row>
    <row r="376" spans="1:17" x14ac:dyDescent="0.3">
      <c r="A376" s="1">
        <v>375</v>
      </c>
      <c r="B376" s="55">
        <v>36.955913600000002</v>
      </c>
      <c r="C376" s="55">
        <v>275.79039999999998</v>
      </c>
      <c r="D376" s="55">
        <v>5</v>
      </c>
      <c r="E376" s="13">
        <v>304.79999999999995</v>
      </c>
      <c r="F376" s="3">
        <v>171.45</v>
      </c>
      <c r="G376" s="3">
        <v>71.183499999999995</v>
      </c>
      <c r="H376" s="13">
        <v>22.758399999999995</v>
      </c>
      <c r="I376" s="55">
        <v>9.5250000000000004</v>
      </c>
      <c r="J376" s="101">
        <f t="shared" si="19"/>
        <v>356.09807812500003</v>
      </c>
      <c r="K376">
        <f t="shared" si="20"/>
        <v>1.4206063964534517</v>
      </c>
      <c r="L376">
        <f t="shared" si="21"/>
        <v>6.8142361111111129E-3</v>
      </c>
      <c r="M376" s="55">
        <v>95.503999999999991</v>
      </c>
      <c r="N376" s="55">
        <v>0.32003999999999999</v>
      </c>
      <c r="O376" s="10"/>
      <c r="Q376" s="13">
        <v>0.68142361111111127</v>
      </c>
    </row>
    <row r="377" spans="1:17" x14ac:dyDescent="0.3">
      <c r="A377" s="1">
        <v>376</v>
      </c>
      <c r="B377" s="55">
        <v>27.9927256</v>
      </c>
      <c r="C377" s="55">
        <v>275.79039999999998</v>
      </c>
      <c r="D377" s="55">
        <v>4</v>
      </c>
      <c r="E377" s="13">
        <v>304.79999999999995</v>
      </c>
      <c r="F377" s="3">
        <v>165.1</v>
      </c>
      <c r="G377" s="3">
        <v>42.037000000000006</v>
      </c>
      <c r="H377" s="13">
        <v>16.255999999999993</v>
      </c>
      <c r="I377" s="55">
        <v>6.35</v>
      </c>
      <c r="J377" s="101">
        <f t="shared" si="19"/>
        <v>126.61264999999999</v>
      </c>
      <c r="K377">
        <f t="shared" si="20"/>
        <v>0.4115376676986584</v>
      </c>
      <c r="L377">
        <f t="shared" si="21"/>
        <v>2.5160256410256413E-3</v>
      </c>
      <c r="M377" s="55">
        <v>119.88799999999999</v>
      </c>
      <c r="N377" s="55">
        <v>0.79755999999999994</v>
      </c>
      <c r="O377" s="10"/>
      <c r="Q377" s="13">
        <v>0.25160256410256415</v>
      </c>
    </row>
    <row r="378" spans="1:17" x14ac:dyDescent="0.3">
      <c r="A378" s="1">
        <v>377</v>
      </c>
      <c r="B378" s="55">
        <v>35.7148568</v>
      </c>
      <c r="C378" s="55">
        <v>275.79039999999998</v>
      </c>
      <c r="D378" s="55">
        <v>4</v>
      </c>
      <c r="E378" s="13">
        <v>152.39999999999998</v>
      </c>
      <c r="F378" s="3">
        <v>304.79999999999995</v>
      </c>
      <c r="G378" s="3">
        <v>229.93349999999998</v>
      </c>
      <c r="H378" s="13">
        <v>3.0480000000000018</v>
      </c>
      <c r="I378" s="55">
        <v>9.5250000000000004</v>
      </c>
      <c r="J378" s="101">
        <f t="shared" si="19"/>
        <v>284.87846250000007</v>
      </c>
      <c r="K378">
        <f t="shared" si="20"/>
        <v>1.5220610687022911</v>
      </c>
      <c r="L378">
        <f t="shared" si="21"/>
        <v>6.1328125000000028E-3</v>
      </c>
      <c r="M378" s="55">
        <v>70.103999999999985</v>
      </c>
      <c r="N378" s="55">
        <v>0.25653999999999999</v>
      </c>
      <c r="O378" s="10"/>
      <c r="Q378" s="13">
        <v>0.61328125000000022</v>
      </c>
    </row>
    <row r="379" spans="1:17" x14ac:dyDescent="0.3">
      <c r="A379" s="1">
        <v>378</v>
      </c>
      <c r="B379" s="55">
        <v>27.923777999999999</v>
      </c>
      <c r="C379" s="55">
        <v>275.79039999999998</v>
      </c>
      <c r="D379" s="55">
        <v>4</v>
      </c>
      <c r="E379" s="13">
        <v>152.39999999999998</v>
      </c>
      <c r="F379" s="3">
        <v>304.79999999999995</v>
      </c>
      <c r="G379" s="3">
        <v>226.88549999999998</v>
      </c>
      <c r="H379" s="13">
        <v>1.5240000000000009</v>
      </c>
      <c r="I379" s="55">
        <v>9.5250000000000004</v>
      </c>
      <c r="J379" s="101">
        <f t="shared" ref="J379:J434" si="22">D379*(3.14/4)*I379*I379</f>
        <v>284.87846250000007</v>
      </c>
      <c r="K379">
        <f t="shared" si="20"/>
        <v>1.4625183374083137</v>
      </c>
      <c r="L379">
        <f t="shared" si="21"/>
        <v>6.1328125000000028E-3</v>
      </c>
      <c r="M379" s="55">
        <v>73.151999999999987</v>
      </c>
      <c r="N379" s="55">
        <v>0.19303999999999999</v>
      </c>
      <c r="O379" s="10"/>
      <c r="Q379" s="13">
        <v>0.61328125000000022</v>
      </c>
    </row>
    <row r="380" spans="1:17" x14ac:dyDescent="0.3">
      <c r="A380" s="1">
        <v>379</v>
      </c>
      <c r="B380" s="55">
        <v>30</v>
      </c>
      <c r="C380" s="55">
        <v>200</v>
      </c>
      <c r="D380" s="55">
        <v>5</v>
      </c>
      <c r="E380" s="55">
        <v>250</v>
      </c>
      <c r="F380" s="55">
        <v>750</v>
      </c>
      <c r="G380" s="55">
        <v>704</v>
      </c>
      <c r="H380" s="13">
        <v>34.799999999999997</v>
      </c>
      <c r="I380" s="55">
        <v>16</v>
      </c>
      <c r="J380" s="101">
        <f t="shared" si="22"/>
        <v>1004.8000000000001</v>
      </c>
      <c r="K380">
        <f t="shared" ref="K380:K436" si="23">J380/(2.5*(F380-G380))</f>
        <v>8.7373913043478275</v>
      </c>
      <c r="L380">
        <f t="shared" si="21"/>
        <v>5.3589333333333338E-3</v>
      </c>
      <c r="M380" s="55">
        <v>38</v>
      </c>
      <c r="N380" s="97">
        <v>0.14699999999999999</v>
      </c>
      <c r="O380" s="10" t="s">
        <v>28</v>
      </c>
      <c r="Q380" s="13"/>
    </row>
    <row r="381" spans="1:17" x14ac:dyDescent="0.3">
      <c r="A381" s="1">
        <v>380</v>
      </c>
      <c r="B381" s="55">
        <v>30</v>
      </c>
      <c r="C381" s="55">
        <v>200</v>
      </c>
      <c r="D381" s="55">
        <v>5</v>
      </c>
      <c r="E381" s="55">
        <v>250</v>
      </c>
      <c r="F381" s="55">
        <v>500</v>
      </c>
      <c r="G381" s="55">
        <v>454</v>
      </c>
      <c r="H381" s="13">
        <v>34.799999999999997</v>
      </c>
      <c r="I381" s="55">
        <v>16</v>
      </c>
      <c r="J381" s="101">
        <f t="shared" si="22"/>
        <v>1004.8000000000001</v>
      </c>
      <c r="K381">
        <f t="shared" si="23"/>
        <v>8.7373913043478275</v>
      </c>
      <c r="L381">
        <f t="shared" si="21"/>
        <v>8.0384000000000011E-3</v>
      </c>
      <c r="M381" s="55">
        <v>38</v>
      </c>
      <c r="N381" s="97">
        <v>0.13500000000000001</v>
      </c>
      <c r="O381" s="10"/>
      <c r="Q381" s="13"/>
    </row>
    <row r="382" spans="1:17" x14ac:dyDescent="0.3">
      <c r="A382" s="1">
        <v>381</v>
      </c>
      <c r="B382" s="55">
        <v>30</v>
      </c>
      <c r="C382" s="55">
        <v>200</v>
      </c>
      <c r="D382" s="55">
        <v>5</v>
      </c>
      <c r="E382" s="55">
        <v>250</v>
      </c>
      <c r="F382" s="55">
        <v>370</v>
      </c>
      <c r="G382" s="55">
        <v>324</v>
      </c>
      <c r="H382" s="13">
        <v>34.799999999999997</v>
      </c>
      <c r="I382" s="55">
        <v>16</v>
      </c>
      <c r="J382" s="101">
        <f t="shared" si="22"/>
        <v>1004.8000000000001</v>
      </c>
      <c r="K382">
        <f t="shared" si="23"/>
        <v>8.7373913043478275</v>
      </c>
      <c r="L382">
        <f t="shared" si="21"/>
        <v>1.0862702702702703E-2</v>
      </c>
      <c r="M382" s="55">
        <v>38</v>
      </c>
      <c r="N382" s="97">
        <v>0.13100000000000001</v>
      </c>
      <c r="O382" s="10"/>
      <c r="Q382" s="13"/>
    </row>
    <row r="383" spans="1:17" x14ac:dyDescent="0.3">
      <c r="A383" s="1">
        <v>382</v>
      </c>
      <c r="B383" s="55">
        <v>30</v>
      </c>
      <c r="C383" s="55">
        <v>140</v>
      </c>
      <c r="D383" s="55">
        <v>5</v>
      </c>
      <c r="E383" s="55">
        <v>250</v>
      </c>
      <c r="F383" s="55">
        <v>500</v>
      </c>
      <c r="G383" s="55">
        <v>454</v>
      </c>
      <c r="H383" s="13">
        <v>34.799999999999997</v>
      </c>
      <c r="I383" s="55">
        <v>16</v>
      </c>
      <c r="J383" s="101">
        <f t="shared" si="22"/>
        <v>1004.8000000000001</v>
      </c>
      <c r="K383">
        <f t="shared" si="23"/>
        <v>8.7373913043478275</v>
      </c>
      <c r="L383">
        <f t="shared" si="21"/>
        <v>8.0384000000000011E-3</v>
      </c>
      <c r="M383" s="55">
        <v>38</v>
      </c>
      <c r="N383" s="97">
        <v>8.4500000000000006E-2</v>
      </c>
      <c r="O383" s="10"/>
      <c r="Q383" s="13"/>
    </row>
    <row r="384" spans="1:17" x14ac:dyDescent="0.3">
      <c r="A384" s="1">
        <v>383</v>
      </c>
      <c r="B384" s="55">
        <v>30</v>
      </c>
      <c r="C384" s="55">
        <v>200</v>
      </c>
      <c r="D384" s="55">
        <v>2</v>
      </c>
      <c r="E384" s="55">
        <v>250</v>
      </c>
      <c r="F384" s="55">
        <v>500</v>
      </c>
      <c r="G384" s="55">
        <v>445</v>
      </c>
      <c r="H384" s="13">
        <v>82.5</v>
      </c>
      <c r="I384" s="55">
        <v>25</v>
      </c>
      <c r="J384" s="101">
        <f t="shared" si="22"/>
        <v>981.25</v>
      </c>
      <c r="K384">
        <f t="shared" si="23"/>
        <v>7.1363636363636367</v>
      </c>
      <c r="L384">
        <f t="shared" si="21"/>
        <v>7.8499999999999993E-3</v>
      </c>
      <c r="M384" s="55">
        <v>42.5</v>
      </c>
      <c r="N384" s="55">
        <v>0.218</v>
      </c>
      <c r="O384" s="10"/>
      <c r="Q384" s="13"/>
    </row>
    <row r="385" spans="1:17" x14ac:dyDescent="0.3">
      <c r="A385" s="1">
        <v>384</v>
      </c>
      <c r="B385" s="55">
        <v>30</v>
      </c>
      <c r="C385" s="55">
        <v>200</v>
      </c>
      <c r="D385" s="55">
        <v>5</v>
      </c>
      <c r="E385" s="55">
        <v>250</v>
      </c>
      <c r="F385" s="55">
        <v>750</v>
      </c>
      <c r="G385" s="55">
        <v>704</v>
      </c>
      <c r="H385" s="13">
        <v>34.799999999999997</v>
      </c>
      <c r="I385" s="55">
        <v>16</v>
      </c>
      <c r="J385" s="101">
        <f t="shared" si="22"/>
        <v>1004.8000000000001</v>
      </c>
      <c r="K385">
        <f t="shared" si="23"/>
        <v>8.7373913043478275</v>
      </c>
      <c r="L385">
        <f t="shared" si="21"/>
        <v>5.3589333333333338E-3</v>
      </c>
      <c r="M385" s="55">
        <v>38</v>
      </c>
      <c r="N385" s="97">
        <v>0.10100000000000001</v>
      </c>
      <c r="O385" s="10" t="s">
        <v>13</v>
      </c>
      <c r="Q385" s="13"/>
    </row>
    <row r="386" spans="1:17" x14ac:dyDescent="0.3">
      <c r="A386" s="1">
        <v>385</v>
      </c>
      <c r="B386" s="55">
        <v>30</v>
      </c>
      <c r="C386" s="55">
        <v>200</v>
      </c>
      <c r="D386" s="55">
        <v>5</v>
      </c>
      <c r="E386" s="55">
        <v>250</v>
      </c>
      <c r="F386" s="55">
        <v>500</v>
      </c>
      <c r="G386" s="55">
        <v>454</v>
      </c>
      <c r="H386" s="13">
        <v>34.799999999999997</v>
      </c>
      <c r="I386" s="55">
        <v>16</v>
      </c>
      <c r="J386" s="101">
        <f t="shared" si="22"/>
        <v>1004.8000000000001</v>
      </c>
      <c r="K386">
        <f t="shared" si="23"/>
        <v>8.7373913043478275</v>
      </c>
      <c r="L386">
        <f t="shared" si="21"/>
        <v>8.0384000000000011E-3</v>
      </c>
      <c r="M386" s="55">
        <v>38</v>
      </c>
      <c r="N386" s="97">
        <v>0.106</v>
      </c>
      <c r="O386" s="10"/>
      <c r="Q386" s="13"/>
    </row>
    <row r="387" spans="1:17" x14ac:dyDescent="0.3">
      <c r="A387" s="1">
        <v>386</v>
      </c>
      <c r="B387" s="55">
        <v>30</v>
      </c>
      <c r="C387" s="55">
        <v>200</v>
      </c>
      <c r="D387" s="55">
        <v>5</v>
      </c>
      <c r="E387" s="55">
        <v>250</v>
      </c>
      <c r="F387" s="55">
        <v>370</v>
      </c>
      <c r="G387" s="55">
        <v>324</v>
      </c>
      <c r="H387" s="13">
        <v>34.799999999999997</v>
      </c>
      <c r="I387" s="55">
        <v>16</v>
      </c>
      <c r="J387" s="101">
        <f t="shared" si="22"/>
        <v>1004.8000000000001</v>
      </c>
      <c r="K387">
        <f t="shared" si="23"/>
        <v>8.7373913043478275</v>
      </c>
      <c r="L387">
        <f t="shared" ref="L387:L450" si="24">J387/(E387*F387)</f>
        <v>1.0862702702702703E-2</v>
      </c>
      <c r="M387" s="55">
        <v>38</v>
      </c>
      <c r="N387" s="97">
        <v>0.111</v>
      </c>
      <c r="O387" s="10"/>
      <c r="Q387" s="13"/>
    </row>
    <row r="388" spans="1:17" x14ac:dyDescent="0.3">
      <c r="A388" s="1">
        <v>387</v>
      </c>
      <c r="B388" s="55">
        <v>30</v>
      </c>
      <c r="C388" s="55">
        <v>140</v>
      </c>
      <c r="D388" s="55">
        <v>5</v>
      </c>
      <c r="E388" s="55">
        <v>250</v>
      </c>
      <c r="F388" s="55">
        <v>500</v>
      </c>
      <c r="G388" s="55">
        <v>454</v>
      </c>
      <c r="H388" s="13">
        <v>34.799999999999997</v>
      </c>
      <c r="I388" s="55">
        <v>16</v>
      </c>
      <c r="J388" s="101">
        <f t="shared" si="22"/>
        <v>1004.8000000000001</v>
      </c>
      <c r="K388">
        <f t="shared" si="23"/>
        <v>8.7373913043478275</v>
      </c>
      <c r="L388">
        <f t="shared" si="24"/>
        <v>8.0384000000000011E-3</v>
      </c>
      <c r="M388" s="55">
        <v>38</v>
      </c>
      <c r="N388" s="97">
        <v>7.4200000000000002E-2</v>
      </c>
      <c r="O388" s="10"/>
      <c r="Q388" s="13"/>
    </row>
    <row r="389" spans="1:17" x14ac:dyDescent="0.3">
      <c r="A389" s="1">
        <v>388</v>
      </c>
      <c r="B389" s="55">
        <v>30</v>
      </c>
      <c r="C389" s="55">
        <v>200</v>
      </c>
      <c r="D389" s="55">
        <v>2</v>
      </c>
      <c r="E389" s="55">
        <v>250</v>
      </c>
      <c r="F389" s="55">
        <v>500</v>
      </c>
      <c r="G389" s="55">
        <v>445</v>
      </c>
      <c r="H389" s="13">
        <v>82.5</v>
      </c>
      <c r="I389" s="55">
        <v>25</v>
      </c>
      <c r="J389" s="101">
        <f t="shared" si="22"/>
        <v>981.25</v>
      </c>
      <c r="K389">
        <f t="shared" si="23"/>
        <v>7.1363636363636367</v>
      </c>
      <c r="L389">
        <f t="shared" si="24"/>
        <v>7.8499999999999993E-3</v>
      </c>
      <c r="M389" s="55">
        <v>42.5</v>
      </c>
      <c r="N389" s="55">
        <v>0.23100000000000001</v>
      </c>
      <c r="O389" s="10"/>
      <c r="Q389" s="13"/>
    </row>
    <row r="390" spans="1:17" x14ac:dyDescent="0.3">
      <c r="A390" s="1">
        <v>389</v>
      </c>
      <c r="B390" s="55">
        <v>30</v>
      </c>
      <c r="C390" s="55">
        <v>200</v>
      </c>
      <c r="D390" s="55">
        <v>5</v>
      </c>
      <c r="E390" s="55">
        <v>250</v>
      </c>
      <c r="F390" s="55">
        <v>750</v>
      </c>
      <c r="G390" s="55">
        <v>704</v>
      </c>
      <c r="H390" s="13">
        <v>34.799999999999997</v>
      </c>
      <c r="I390" s="55">
        <v>16</v>
      </c>
      <c r="J390" s="101">
        <f t="shared" si="22"/>
        <v>1004.8000000000001</v>
      </c>
      <c r="K390">
        <f t="shared" si="23"/>
        <v>8.7373913043478275</v>
      </c>
      <c r="L390">
        <f t="shared" si="24"/>
        <v>5.3589333333333338E-3</v>
      </c>
      <c r="M390" s="55">
        <v>38</v>
      </c>
      <c r="N390" s="97">
        <v>0.10199999999999999</v>
      </c>
      <c r="O390" s="10" t="s">
        <v>29</v>
      </c>
      <c r="Q390" s="13"/>
    </row>
    <row r="391" spans="1:17" x14ac:dyDescent="0.3">
      <c r="A391" s="1">
        <v>390</v>
      </c>
      <c r="B391" s="55">
        <v>30</v>
      </c>
      <c r="C391" s="55">
        <v>200</v>
      </c>
      <c r="D391" s="55">
        <v>5</v>
      </c>
      <c r="E391" s="55">
        <v>250</v>
      </c>
      <c r="F391" s="55">
        <v>500</v>
      </c>
      <c r="G391" s="55">
        <v>454</v>
      </c>
      <c r="H391" s="13">
        <v>34.799999999999997</v>
      </c>
      <c r="I391" s="55">
        <v>16</v>
      </c>
      <c r="J391" s="101">
        <f t="shared" si="22"/>
        <v>1004.8000000000001</v>
      </c>
      <c r="K391">
        <f t="shared" si="23"/>
        <v>8.7373913043478275</v>
      </c>
      <c r="L391">
        <f t="shared" si="24"/>
        <v>8.0384000000000011E-3</v>
      </c>
      <c r="M391" s="55">
        <v>38</v>
      </c>
      <c r="N391" s="97">
        <v>0.107</v>
      </c>
      <c r="O391" s="10"/>
      <c r="Q391" s="13"/>
    </row>
    <row r="392" spans="1:17" x14ac:dyDescent="0.3">
      <c r="A392" s="1">
        <v>391</v>
      </c>
      <c r="B392" s="55">
        <v>30</v>
      </c>
      <c r="C392" s="55">
        <v>200</v>
      </c>
      <c r="D392" s="55">
        <v>5</v>
      </c>
      <c r="E392" s="55">
        <v>250</v>
      </c>
      <c r="F392" s="55">
        <v>370</v>
      </c>
      <c r="G392" s="55">
        <v>324</v>
      </c>
      <c r="H392" s="13">
        <v>34.799999999999997</v>
      </c>
      <c r="I392" s="55">
        <v>16</v>
      </c>
      <c r="J392" s="101">
        <f t="shared" si="22"/>
        <v>1004.8000000000001</v>
      </c>
      <c r="K392">
        <f t="shared" si="23"/>
        <v>8.7373913043478275</v>
      </c>
      <c r="L392">
        <f t="shared" si="24"/>
        <v>1.0862702702702703E-2</v>
      </c>
      <c r="M392" s="55">
        <v>38</v>
      </c>
      <c r="N392" s="97">
        <v>0.113</v>
      </c>
      <c r="O392" s="10"/>
      <c r="Q392" s="13"/>
    </row>
    <row r="393" spans="1:17" x14ac:dyDescent="0.3">
      <c r="A393" s="1">
        <v>392</v>
      </c>
      <c r="B393" s="55">
        <v>30</v>
      </c>
      <c r="C393" s="55">
        <v>140</v>
      </c>
      <c r="D393" s="55">
        <v>5</v>
      </c>
      <c r="E393" s="55">
        <v>250</v>
      </c>
      <c r="F393" s="55">
        <v>500</v>
      </c>
      <c r="G393" s="55">
        <v>454</v>
      </c>
      <c r="H393" s="13">
        <v>34.799999999999997</v>
      </c>
      <c r="I393" s="55">
        <v>16</v>
      </c>
      <c r="J393" s="101">
        <f t="shared" si="22"/>
        <v>1004.8000000000001</v>
      </c>
      <c r="K393">
        <f t="shared" si="23"/>
        <v>8.7373913043478275</v>
      </c>
      <c r="L393">
        <f t="shared" si="24"/>
        <v>8.0384000000000011E-3</v>
      </c>
      <c r="M393" s="55">
        <v>38</v>
      </c>
      <c r="N393" s="97">
        <v>6.8199999999999997E-2</v>
      </c>
      <c r="O393" s="10"/>
      <c r="Q393" s="13"/>
    </row>
    <row r="394" spans="1:17" x14ac:dyDescent="0.3">
      <c r="A394" s="1">
        <v>393</v>
      </c>
      <c r="B394" s="55">
        <v>30</v>
      </c>
      <c r="C394" s="55">
        <v>200</v>
      </c>
      <c r="D394" s="55">
        <v>2</v>
      </c>
      <c r="E394" s="55">
        <v>250</v>
      </c>
      <c r="F394" s="55">
        <v>500</v>
      </c>
      <c r="G394" s="55">
        <v>445</v>
      </c>
      <c r="H394" s="13">
        <v>82.5</v>
      </c>
      <c r="I394" s="55">
        <v>25</v>
      </c>
      <c r="J394" s="101">
        <f t="shared" si="22"/>
        <v>981.25</v>
      </c>
      <c r="K394">
        <f t="shared" si="23"/>
        <v>7.1363636363636367</v>
      </c>
      <c r="L394">
        <f t="shared" si="24"/>
        <v>7.8499999999999993E-3</v>
      </c>
      <c r="M394" s="55">
        <v>42.5</v>
      </c>
      <c r="N394" s="55">
        <v>0.158</v>
      </c>
      <c r="O394" s="10"/>
      <c r="Q394" s="13"/>
    </row>
    <row r="395" spans="1:17" x14ac:dyDescent="0.3">
      <c r="A395" s="1">
        <v>394</v>
      </c>
      <c r="B395" s="98">
        <v>31.440105599999999</v>
      </c>
      <c r="C395" s="98">
        <v>229.595508</v>
      </c>
      <c r="D395" s="98">
        <v>1</v>
      </c>
      <c r="E395" s="98">
        <v>88.899999999999991</v>
      </c>
      <c r="F395" s="98">
        <v>361.95</v>
      </c>
      <c r="G395" s="98">
        <v>255.524</v>
      </c>
      <c r="H395" s="98">
        <v>44.449999999999996</v>
      </c>
      <c r="I395" s="98">
        <v>25.4</v>
      </c>
      <c r="J395" s="101">
        <f t="shared" si="22"/>
        <v>506.45059999999995</v>
      </c>
      <c r="K395">
        <f t="shared" si="23"/>
        <v>1.9034844868735086</v>
      </c>
      <c r="L395">
        <f t="shared" si="24"/>
        <v>1.573934837092732E-2</v>
      </c>
      <c r="M395" s="98">
        <v>93.725999999999999</v>
      </c>
      <c r="N395" s="100">
        <v>7.6200000000000004E-2</v>
      </c>
      <c r="O395" s="10" t="s">
        <v>30</v>
      </c>
      <c r="Q395" s="55">
        <v>1.8</v>
      </c>
    </row>
    <row r="396" spans="1:17" x14ac:dyDescent="0.3">
      <c r="A396" s="1">
        <v>395</v>
      </c>
      <c r="B396" s="98">
        <v>31.440105599999999</v>
      </c>
      <c r="C396" s="98">
        <v>229.595508</v>
      </c>
      <c r="D396" s="98">
        <v>1</v>
      </c>
      <c r="E396" s="98">
        <v>88.899999999999991</v>
      </c>
      <c r="F396" s="98">
        <v>361.95</v>
      </c>
      <c r="G396" s="98">
        <v>286.512</v>
      </c>
      <c r="H396" s="98">
        <v>44.449999999999996</v>
      </c>
      <c r="I396" s="98">
        <v>25.4</v>
      </c>
      <c r="J396" s="101">
        <f t="shared" si="22"/>
        <v>506.45059999999995</v>
      </c>
      <c r="K396">
        <f t="shared" si="23"/>
        <v>2.6853872053872054</v>
      </c>
      <c r="L396">
        <f t="shared" si="24"/>
        <v>1.573934837092732E-2</v>
      </c>
      <c r="M396" s="98">
        <v>62.738</v>
      </c>
      <c r="N396" s="100">
        <v>0.1016</v>
      </c>
      <c r="O396" s="10"/>
      <c r="Q396" s="55">
        <v>1.8</v>
      </c>
    </row>
    <row r="397" spans="1:17" x14ac:dyDescent="0.3">
      <c r="A397" s="1">
        <v>396</v>
      </c>
      <c r="B397" s="98">
        <v>31.440105599999999</v>
      </c>
      <c r="C397" s="98">
        <v>229.595508</v>
      </c>
      <c r="D397" s="98">
        <v>1</v>
      </c>
      <c r="E397" s="98">
        <v>88.899999999999991</v>
      </c>
      <c r="F397" s="98">
        <v>361.95</v>
      </c>
      <c r="G397" s="98">
        <v>304.29199999999997</v>
      </c>
      <c r="H397" s="98">
        <v>44.449999999999996</v>
      </c>
      <c r="I397" s="98">
        <v>25.4</v>
      </c>
      <c r="J397" s="101">
        <f t="shared" si="22"/>
        <v>506.45059999999995</v>
      </c>
      <c r="K397">
        <f t="shared" si="23"/>
        <v>3.5134801762114525</v>
      </c>
      <c r="L397">
        <f t="shared" si="24"/>
        <v>1.573934837092732E-2</v>
      </c>
      <c r="M397" s="98">
        <v>44.957999999999998</v>
      </c>
      <c r="N397" s="100">
        <v>0.11429999999999998</v>
      </c>
      <c r="O397" s="10"/>
      <c r="Q397" s="55">
        <v>1.8</v>
      </c>
    </row>
    <row r="398" spans="1:17" x14ac:dyDescent="0.3">
      <c r="A398" s="1">
        <v>397</v>
      </c>
      <c r="B398" s="98">
        <v>31.440105599999999</v>
      </c>
      <c r="C398" s="98">
        <v>229.595508</v>
      </c>
      <c r="D398" s="98">
        <v>1</v>
      </c>
      <c r="E398" s="98">
        <v>88.899999999999991</v>
      </c>
      <c r="F398" s="98">
        <v>361.95</v>
      </c>
      <c r="G398" s="98">
        <v>294.64</v>
      </c>
      <c r="H398" s="98">
        <v>44.449999999999996</v>
      </c>
      <c r="I398" s="98">
        <v>25.4</v>
      </c>
      <c r="J398" s="101">
        <f t="shared" si="22"/>
        <v>506.45059999999995</v>
      </c>
      <c r="K398">
        <f t="shared" si="23"/>
        <v>3.00966037735849</v>
      </c>
      <c r="L398">
        <f t="shared" si="24"/>
        <v>1.573934837092732E-2</v>
      </c>
      <c r="M398" s="98">
        <v>54.609999999999992</v>
      </c>
      <c r="N398" s="100">
        <v>0.15240000000000001</v>
      </c>
      <c r="O398" s="10"/>
      <c r="Q398" s="55">
        <v>1.8</v>
      </c>
    </row>
    <row r="399" spans="1:17" x14ac:dyDescent="0.3">
      <c r="A399" s="1">
        <v>398</v>
      </c>
      <c r="B399" s="98">
        <v>29.164834799999998</v>
      </c>
      <c r="C399" s="98">
        <v>229.595508</v>
      </c>
      <c r="D399" s="98">
        <v>1</v>
      </c>
      <c r="E399" s="98">
        <v>88.899999999999991</v>
      </c>
      <c r="F399" s="98">
        <v>361.95</v>
      </c>
      <c r="G399" s="98">
        <v>255.524</v>
      </c>
      <c r="H399" s="98">
        <v>25.4</v>
      </c>
      <c r="I399" s="98">
        <v>25.4</v>
      </c>
      <c r="J399" s="101">
        <f t="shared" si="22"/>
        <v>506.45059999999995</v>
      </c>
      <c r="K399">
        <f t="shared" si="23"/>
        <v>1.9034844868735086</v>
      </c>
      <c r="L399">
        <f t="shared" si="24"/>
        <v>1.573934837092732E-2</v>
      </c>
      <c r="M399" s="98">
        <v>93.725999999999999</v>
      </c>
      <c r="N399" s="100">
        <v>7.6200000000000004E-2</v>
      </c>
      <c r="O399" s="10"/>
      <c r="Q399" s="55">
        <v>1.8</v>
      </c>
    </row>
    <row r="400" spans="1:17" x14ac:dyDescent="0.3">
      <c r="A400" s="1">
        <v>399</v>
      </c>
      <c r="B400" s="98">
        <v>29.164834799999998</v>
      </c>
      <c r="C400" s="98">
        <v>229.595508</v>
      </c>
      <c r="D400" s="98">
        <v>1</v>
      </c>
      <c r="E400" s="98">
        <v>88.899999999999991</v>
      </c>
      <c r="F400" s="98">
        <v>361.95</v>
      </c>
      <c r="G400" s="98">
        <v>286.512</v>
      </c>
      <c r="H400" s="98">
        <v>25.4</v>
      </c>
      <c r="I400" s="98">
        <v>25.4</v>
      </c>
      <c r="J400" s="101">
        <f t="shared" si="22"/>
        <v>506.45059999999995</v>
      </c>
      <c r="K400">
        <f t="shared" si="23"/>
        <v>2.6853872053872054</v>
      </c>
      <c r="L400">
        <f t="shared" si="24"/>
        <v>1.573934837092732E-2</v>
      </c>
      <c r="M400" s="98">
        <v>62.738</v>
      </c>
      <c r="N400" s="100">
        <v>0.1016</v>
      </c>
      <c r="O400" s="10"/>
      <c r="Q400" s="55">
        <v>1.8</v>
      </c>
    </row>
    <row r="401" spans="1:17" x14ac:dyDescent="0.3">
      <c r="A401" s="1">
        <v>400</v>
      </c>
      <c r="B401" s="98">
        <v>29.164834799999998</v>
      </c>
      <c r="C401" s="98">
        <v>229.595508</v>
      </c>
      <c r="D401" s="98">
        <v>1</v>
      </c>
      <c r="E401" s="98">
        <v>88.899999999999991</v>
      </c>
      <c r="F401" s="98">
        <v>361.95</v>
      </c>
      <c r="G401" s="98">
        <v>304.29199999999997</v>
      </c>
      <c r="H401" s="98">
        <v>25.4</v>
      </c>
      <c r="I401" s="98">
        <v>25.4</v>
      </c>
      <c r="J401" s="101">
        <f t="shared" si="22"/>
        <v>506.45059999999995</v>
      </c>
      <c r="K401">
        <f t="shared" si="23"/>
        <v>3.5134801762114525</v>
      </c>
      <c r="L401">
        <f t="shared" si="24"/>
        <v>1.573934837092732E-2</v>
      </c>
      <c r="M401" s="98">
        <v>44.957999999999998</v>
      </c>
      <c r="N401" s="100">
        <v>0.1016</v>
      </c>
      <c r="O401" s="10"/>
      <c r="Q401" s="55">
        <v>1.8</v>
      </c>
    </row>
    <row r="402" spans="1:17" x14ac:dyDescent="0.3">
      <c r="A402" s="1">
        <v>401</v>
      </c>
      <c r="B402" s="98">
        <v>29.164834799999998</v>
      </c>
      <c r="C402" s="98">
        <v>229.595508</v>
      </c>
      <c r="D402" s="98">
        <v>1</v>
      </c>
      <c r="E402" s="98">
        <v>88.899999999999991</v>
      </c>
      <c r="F402" s="98">
        <v>361.95</v>
      </c>
      <c r="G402" s="98">
        <v>294.64</v>
      </c>
      <c r="H402" s="98">
        <v>25.4</v>
      </c>
      <c r="I402" s="98">
        <v>25.4</v>
      </c>
      <c r="J402" s="101">
        <f t="shared" si="22"/>
        <v>506.45059999999995</v>
      </c>
      <c r="K402">
        <f t="shared" si="23"/>
        <v>3.00966037735849</v>
      </c>
      <c r="L402">
        <f t="shared" si="24"/>
        <v>1.573934837092732E-2</v>
      </c>
      <c r="M402" s="98">
        <v>54.609999999999992</v>
      </c>
      <c r="N402" s="100">
        <v>0.127</v>
      </c>
      <c r="O402" s="10"/>
      <c r="Q402" s="55">
        <v>1.8</v>
      </c>
    </row>
    <row r="403" spans="1:17" x14ac:dyDescent="0.3">
      <c r="A403" s="1">
        <v>402</v>
      </c>
      <c r="B403" s="98">
        <v>35.7148568</v>
      </c>
      <c r="C403" s="98">
        <v>229.595508</v>
      </c>
      <c r="D403" s="98">
        <v>4</v>
      </c>
      <c r="E403" s="98">
        <v>88.899999999999991</v>
      </c>
      <c r="F403" s="98">
        <v>361.95</v>
      </c>
      <c r="G403" s="98">
        <v>278.89199999999994</v>
      </c>
      <c r="H403" s="98">
        <v>25.4</v>
      </c>
      <c r="I403" s="98">
        <v>12.7</v>
      </c>
      <c r="J403" s="101">
        <f t="shared" si="22"/>
        <v>506.45059999999995</v>
      </c>
      <c r="K403">
        <f t="shared" si="23"/>
        <v>2.4390214067278269</v>
      </c>
      <c r="L403">
        <f t="shared" si="24"/>
        <v>1.573934837092732E-2</v>
      </c>
      <c r="M403" s="98">
        <v>76.707999999999998</v>
      </c>
      <c r="N403" s="100">
        <v>5.0799999999999998E-2</v>
      </c>
      <c r="O403" s="10"/>
      <c r="Q403" s="55">
        <v>1.8</v>
      </c>
    </row>
    <row r="404" spans="1:17" x14ac:dyDescent="0.3">
      <c r="A404" s="1">
        <v>403</v>
      </c>
      <c r="B404" s="98">
        <v>35.7148568</v>
      </c>
      <c r="C404" s="98">
        <v>229.595508</v>
      </c>
      <c r="D404" s="98">
        <v>4</v>
      </c>
      <c r="E404" s="98">
        <v>88.899999999999991</v>
      </c>
      <c r="F404" s="98">
        <v>361.95</v>
      </c>
      <c r="G404" s="98">
        <v>310.89599999999996</v>
      </c>
      <c r="H404" s="98">
        <v>25.4</v>
      </c>
      <c r="I404" s="98">
        <v>12.7</v>
      </c>
      <c r="J404" s="101">
        <f t="shared" si="22"/>
        <v>506.45059999999995</v>
      </c>
      <c r="K404">
        <f t="shared" si="23"/>
        <v>3.9679601990049722</v>
      </c>
      <c r="L404">
        <f t="shared" si="24"/>
        <v>1.573934837092732E-2</v>
      </c>
      <c r="M404" s="98">
        <v>44.704000000000001</v>
      </c>
      <c r="N404" s="100">
        <v>7.6200000000000004E-2</v>
      </c>
      <c r="O404" s="10"/>
      <c r="Q404" s="55">
        <v>1.8</v>
      </c>
    </row>
    <row r="405" spans="1:17" x14ac:dyDescent="0.3">
      <c r="A405" s="1">
        <v>404</v>
      </c>
      <c r="B405" s="98">
        <v>35.7148568</v>
      </c>
      <c r="C405" s="98">
        <v>229.595508</v>
      </c>
      <c r="D405" s="98">
        <v>4</v>
      </c>
      <c r="E405" s="98">
        <v>88.899999999999991</v>
      </c>
      <c r="F405" s="98">
        <v>361.95</v>
      </c>
      <c r="G405" s="98">
        <v>323.34199999999998</v>
      </c>
      <c r="H405" s="98">
        <v>25.4</v>
      </c>
      <c r="I405" s="98">
        <v>12.7</v>
      </c>
      <c r="J405" s="101">
        <f t="shared" si="22"/>
        <v>506.45059999999995</v>
      </c>
      <c r="K405">
        <f t="shared" si="23"/>
        <v>5.2471052631578941</v>
      </c>
      <c r="L405">
        <f t="shared" si="24"/>
        <v>1.573934837092732E-2</v>
      </c>
      <c r="M405" s="98">
        <v>32.257999999999996</v>
      </c>
      <c r="N405" s="100">
        <v>5.0799999999999998E-2</v>
      </c>
      <c r="O405" s="10"/>
      <c r="Q405" s="55">
        <v>1.8</v>
      </c>
    </row>
    <row r="406" spans="1:17" x14ac:dyDescent="0.3">
      <c r="A406" s="1">
        <v>405</v>
      </c>
      <c r="B406" s="98">
        <v>35.7148568</v>
      </c>
      <c r="C406" s="98">
        <v>229.595508</v>
      </c>
      <c r="D406" s="98">
        <v>4</v>
      </c>
      <c r="E406" s="98">
        <v>88.899999999999991</v>
      </c>
      <c r="F406" s="98">
        <v>361.95</v>
      </c>
      <c r="G406" s="98">
        <v>318.77</v>
      </c>
      <c r="H406" s="98">
        <v>25.4</v>
      </c>
      <c r="I406" s="98">
        <v>12.7</v>
      </c>
      <c r="J406" s="101">
        <f t="shared" si="22"/>
        <v>506.45059999999995</v>
      </c>
      <c r="K406">
        <f t="shared" si="23"/>
        <v>4.6915294117647051</v>
      </c>
      <c r="L406">
        <f t="shared" si="24"/>
        <v>1.573934837092732E-2</v>
      </c>
      <c r="M406" s="98">
        <v>36.83</v>
      </c>
      <c r="N406" s="100">
        <v>0.1016</v>
      </c>
      <c r="O406" s="10"/>
      <c r="Q406" s="55">
        <v>1.8</v>
      </c>
    </row>
    <row r="407" spans="1:17" x14ac:dyDescent="0.3">
      <c r="A407" s="1">
        <v>406</v>
      </c>
      <c r="B407" s="98">
        <v>35.7148568</v>
      </c>
      <c r="C407" s="98">
        <v>229.595508</v>
      </c>
      <c r="D407" s="98">
        <v>1</v>
      </c>
      <c r="E407" s="98">
        <v>88.899999999999991</v>
      </c>
      <c r="F407" s="98">
        <v>406.4</v>
      </c>
      <c r="G407" s="98">
        <v>305.56199999999995</v>
      </c>
      <c r="H407" s="98">
        <v>44.449999999999996</v>
      </c>
      <c r="I407" s="98">
        <v>25.4</v>
      </c>
      <c r="J407" s="101">
        <f t="shared" si="22"/>
        <v>506.45059999999995</v>
      </c>
      <c r="K407">
        <f t="shared" si="23"/>
        <v>2.0089672544080597</v>
      </c>
      <c r="L407">
        <f t="shared" si="24"/>
        <v>1.4017857142857144E-2</v>
      </c>
      <c r="M407" s="98">
        <v>88.138000000000005</v>
      </c>
      <c r="N407" s="98">
        <v>5.0799999999999998E-2</v>
      </c>
      <c r="O407" s="10"/>
      <c r="Q407" s="55">
        <v>1.8</v>
      </c>
    </row>
    <row r="408" spans="1:17" x14ac:dyDescent="0.3">
      <c r="A408" s="1">
        <v>407</v>
      </c>
      <c r="B408" s="98">
        <v>35.7148568</v>
      </c>
      <c r="C408" s="98">
        <v>229.595508</v>
      </c>
      <c r="D408" s="98">
        <v>1</v>
      </c>
      <c r="E408" s="98">
        <v>88.899999999999991</v>
      </c>
      <c r="F408" s="98">
        <v>406.4</v>
      </c>
      <c r="G408" s="98">
        <v>335.02600000000001</v>
      </c>
      <c r="H408" s="98">
        <v>44.449999999999996</v>
      </c>
      <c r="I408" s="98">
        <v>25.4</v>
      </c>
      <c r="J408" s="101">
        <f t="shared" si="22"/>
        <v>506.45059999999995</v>
      </c>
      <c r="K408">
        <f t="shared" si="23"/>
        <v>2.8382918149466203</v>
      </c>
      <c r="L408">
        <f t="shared" si="24"/>
        <v>1.4017857142857144E-2</v>
      </c>
      <c r="M408" s="98">
        <v>58.673999999999999</v>
      </c>
      <c r="N408" s="98">
        <v>7.6200000000000004E-2</v>
      </c>
      <c r="O408" s="10"/>
      <c r="Q408" s="55">
        <v>1.8</v>
      </c>
    </row>
    <row r="409" spans="1:17" x14ac:dyDescent="0.3">
      <c r="A409" s="1">
        <v>408</v>
      </c>
      <c r="B409" s="98">
        <v>35.7148568</v>
      </c>
      <c r="C409" s="98">
        <v>229.595508</v>
      </c>
      <c r="D409" s="98">
        <v>1</v>
      </c>
      <c r="E409" s="98">
        <v>88.899999999999991</v>
      </c>
      <c r="F409" s="98">
        <v>406.4</v>
      </c>
      <c r="G409" s="98">
        <v>349.25</v>
      </c>
      <c r="H409" s="98">
        <v>44.449999999999996</v>
      </c>
      <c r="I409" s="98">
        <v>25.4</v>
      </c>
      <c r="J409" s="101">
        <f t="shared" si="22"/>
        <v>506.45059999999995</v>
      </c>
      <c r="K409">
        <f t="shared" si="23"/>
        <v>3.5447111111111123</v>
      </c>
      <c r="L409">
        <f t="shared" si="24"/>
        <v>1.4017857142857144E-2</v>
      </c>
      <c r="M409" s="98">
        <v>44.449999999999996</v>
      </c>
      <c r="N409" s="98">
        <v>7.6200000000000004E-2</v>
      </c>
      <c r="O409" s="10"/>
      <c r="Q409" s="55">
        <v>1.8</v>
      </c>
    </row>
    <row r="410" spans="1:17" x14ac:dyDescent="0.3">
      <c r="A410" s="1">
        <v>409</v>
      </c>
      <c r="B410" s="98">
        <v>35.7148568</v>
      </c>
      <c r="C410" s="98">
        <v>229.595508</v>
      </c>
      <c r="D410" s="98">
        <v>1</v>
      </c>
      <c r="E410" s="98">
        <v>88.899999999999991</v>
      </c>
      <c r="F410" s="98">
        <v>406.4</v>
      </c>
      <c r="G410" s="98">
        <v>335.02600000000001</v>
      </c>
      <c r="H410" s="98">
        <v>44.449999999999996</v>
      </c>
      <c r="I410" s="98">
        <v>25.4</v>
      </c>
      <c r="J410" s="101">
        <f t="shared" si="22"/>
        <v>506.45059999999995</v>
      </c>
      <c r="K410">
        <f t="shared" si="23"/>
        <v>2.8382918149466203</v>
      </c>
      <c r="L410">
        <f t="shared" si="24"/>
        <v>1.4017857142857144E-2</v>
      </c>
      <c r="M410" s="98">
        <v>58.673999999999999</v>
      </c>
      <c r="N410" s="98">
        <v>0.127</v>
      </c>
      <c r="O410" s="10"/>
      <c r="Q410" s="55">
        <v>1.8</v>
      </c>
    </row>
    <row r="411" spans="1:17" x14ac:dyDescent="0.3">
      <c r="A411" s="1">
        <v>410</v>
      </c>
      <c r="B411" s="98">
        <v>35.7148568</v>
      </c>
      <c r="C411" s="98">
        <v>229.595508</v>
      </c>
      <c r="D411" s="98">
        <v>1</v>
      </c>
      <c r="E411" s="98">
        <v>88.899999999999991</v>
      </c>
      <c r="F411" s="98">
        <v>406.4</v>
      </c>
      <c r="G411" s="98">
        <v>305.56199999999995</v>
      </c>
      <c r="H411" s="98">
        <v>44.449999999999996</v>
      </c>
      <c r="I411" s="98">
        <v>25.4</v>
      </c>
      <c r="J411" s="101">
        <f t="shared" si="22"/>
        <v>506.45059999999995</v>
      </c>
      <c r="K411">
        <f t="shared" si="23"/>
        <v>2.0089672544080597</v>
      </c>
      <c r="L411">
        <f t="shared" si="24"/>
        <v>1.4017857142857144E-2</v>
      </c>
      <c r="M411" s="98">
        <v>88.138000000000005</v>
      </c>
      <c r="N411" s="98">
        <v>0.17779999999999999</v>
      </c>
      <c r="O411" s="10"/>
      <c r="Q411" s="55">
        <v>1.8</v>
      </c>
    </row>
    <row r="412" spans="1:17" x14ac:dyDescent="0.3">
      <c r="A412" s="1">
        <v>411</v>
      </c>
      <c r="B412" s="98">
        <v>26.544826</v>
      </c>
      <c r="C412" s="98">
        <v>229.595508</v>
      </c>
      <c r="D412" s="98">
        <v>4</v>
      </c>
      <c r="E412" s="98">
        <v>88.899999999999991</v>
      </c>
      <c r="F412" s="98">
        <v>361.95</v>
      </c>
      <c r="G412" s="98">
        <v>278.89199999999994</v>
      </c>
      <c r="H412" s="98">
        <v>25.4</v>
      </c>
      <c r="I412" s="98">
        <v>12.7</v>
      </c>
      <c r="J412" s="101">
        <f t="shared" si="22"/>
        <v>506.45059999999995</v>
      </c>
      <c r="K412">
        <f t="shared" si="23"/>
        <v>2.4390214067278269</v>
      </c>
      <c r="L412">
        <f t="shared" si="24"/>
        <v>1.573934837092732E-2</v>
      </c>
      <c r="M412" s="98">
        <v>76.707999999999998</v>
      </c>
      <c r="N412" s="98">
        <v>7.6200000000000004E-2</v>
      </c>
      <c r="O412" s="10"/>
      <c r="Q412" s="55">
        <v>1.34</v>
      </c>
    </row>
    <row r="413" spans="1:17" x14ac:dyDescent="0.3">
      <c r="A413" s="1">
        <v>412</v>
      </c>
      <c r="B413" s="98">
        <v>26.544826</v>
      </c>
      <c r="C413" s="98">
        <v>229.595508</v>
      </c>
      <c r="D413" s="98">
        <v>4</v>
      </c>
      <c r="E413" s="98">
        <v>88.899999999999991</v>
      </c>
      <c r="F413" s="98">
        <v>361.95</v>
      </c>
      <c r="G413" s="98">
        <v>284.47999999999996</v>
      </c>
      <c r="H413" s="98">
        <v>25.4</v>
      </c>
      <c r="I413" s="98">
        <v>12.7</v>
      </c>
      <c r="J413" s="101">
        <f t="shared" si="22"/>
        <v>506.45059999999995</v>
      </c>
      <c r="K413">
        <f t="shared" si="23"/>
        <v>2.6149508196721301</v>
      </c>
      <c r="L413">
        <f t="shared" si="24"/>
        <v>1.573934837092732E-2</v>
      </c>
      <c r="M413" s="98">
        <v>71.11999999999999</v>
      </c>
      <c r="N413" s="98">
        <v>0.127</v>
      </c>
      <c r="O413" s="10"/>
      <c r="Q413" s="55">
        <v>1.34</v>
      </c>
    </row>
    <row r="414" spans="1:17" x14ac:dyDescent="0.3">
      <c r="A414" s="1">
        <v>413</v>
      </c>
      <c r="B414" s="98">
        <v>26.544826</v>
      </c>
      <c r="C414" s="98">
        <v>229.595508</v>
      </c>
      <c r="D414" s="98">
        <v>4</v>
      </c>
      <c r="E414" s="98">
        <v>88.899999999999991</v>
      </c>
      <c r="F414" s="98">
        <v>361.95</v>
      </c>
      <c r="G414" s="98">
        <v>249.17400000000001</v>
      </c>
      <c r="H414" s="98">
        <v>25.4</v>
      </c>
      <c r="I414" s="98">
        <v>12.7</v>
      </c>
      <c r="J414" s="101">
        <f t="shared" si="22"/>
        <v>506.45059999999995</v>
      </c>
      <c r="K414">
        <f t="shared" si="23"/>
        <v>1.7963063063063065</v>
      </c>
      <c r="L414">
        <f t="shared" si="24"/>
        <v>1.573934837092732E-2</v>
      </c>
      <c r="M414" s="98">
        <v>106.426</v>
      </c>
      <c r="N414" s="98">
        <v>0.20319999999999999</v>
      </c>
      <c r="O414" s="10"/>
      <c r="Q414" s="55">
        <v>1.34</v>
      </c>
    </row>
    <row r="415" spans="1:17" x14ac:dyDescent="0.3">
      <c r="A415" s="1">
        <v>414</v>
      </c>
      <c r="B415" s="98">
        <v>26.544826</v>
      </c>
      <c r="C415" s="98">
        <v>229.595508</v>
      </c>
      <c r="D415" s="98">
        <v>4</v>
      </c>
      <c r="E415" s="98">
        <v>88.899999999999991</v>
      </c>
      <c r="F415" s="98">
        <v>361.95</v>
      </c>
      <c r="G415" s="98">
        <v>215.9</v>
      </c>
      <c r="H415" s="98">
        <v>25.4</v>
      </c>
      <c r="I415" s="98">
        <v>12.7</v>
      </c>
      <c r="J415" s="101">
        <f t="shared" si="22"/>
        <v>506.45059999999995</v>
      </c>
      <c r="K415">
        <f t="shared" si="23"/>
        <v>1.3870608695652176</v>
      </c>
      <c r="L415">
        <f t="shared" si="24"/>
        <v>1.573934837092732E-2</v>
      </c>
      <c r="M415" s="98">
        <v>139.69999999999999</v>
      </c>
      <c r="N415" s="98">
        <v>0.20319999999999999</v>
      </c>
      <c r="O415" s="10"/>
      <c r="Q415" s="55">
        <v>1.34</v>
      </c>
    </row>
    <row r="416" spans="1:17" x14ac:dyDescent="0.3">
      <c r="A416" s="1">
        <v>415</v>
      </c>
      <c r="B416" s="98">
        <v>24.476398</v>
      </c>
      <c r="C416" s="98">
        <v>229.595508</v>
      </c>
      <c r="D416" s="98">
        <v>4</v>
      </c>
      <c r="E416" s="98">
        <v>88.899999999999991</v>
      </c>
      <c r="F416" s="98">
        <v>361.95</v>
      </c>
      <c r="G416" s="98">
        <v>304.29199999999997</v>
      </c>
      <c r="H416" s="98">
        <v>67.563999999999993</v>
      </c>
      <c r="I416" s="98">
        <v>12.7</v>
      </c>
      <c r="J416" s="101">
        <f t="shared" si="22"/>
        <v>506.45059999999995</v>
      </c>
      <c r="K416">
        <f t="shared" si="23"/>
        <v>3.5134801762114525</v>
      </c>
      <c r="L416">
        <f t="shared" si="24"/>
        <v>1.573934837092732E-2</v>
      </c>
      <c r="M416" s="98">
        <v>51.308</v>
      </c>
      <c r="N416" s="98">
        <v>7.6200000000000004E-2</v>
      </c>
      <c r="O416" s="10"/>
      <c r="Q416" s="55">
        <v>1.34</v>
      </c>
    </row>
    <row r="417" spans="1:17" x14ac:dyDescent="0.3">
      <c r="A417" s="1">
        <v>416</v>
      </c>
      <c r="B417" s="98">
        <v>24.476398</v>
      </c>
      <c r="C417" s="98">
        <v>229.595508</v>
      </c>
      <c r="D417" s="98">
        <v>4</v>
      </c>
      <c r="E417" s="98">
        <v>88.899999999999991</v>
      </c>
      <c r="F417" s="98">
        <v>361.95</v>
      </c>
      <c r="G417" s="98">
        <v>309.37199999999996</v>
      </c>
      <c r="H417" s="98">
        <v>67.563999999999993</v>
      </c>
      <c r="I417" s="98">
        <v>12.7</v>
      </c>
      <c r="J417" s="101">
        <f t="shared" si="22"/>
        <v>506.45059999999995</v>
      </c>
      <c r="K417">
        <f t="shared" si="23"/>
        <v>3.8529468599033789</v>
      </c>
      <c r="L417">
        <f t="shared" si="24"/>
        <v>1.573934837092732E-2</v>
      </c>
      <c r="M417" s="98">
        <v>46.228000000000002</v>
      </c>
      <c r="N417" s="98">
        <v>7.6200000000000004E-2</v>
      </c>
      <c r="O417" s="10"/>
      <c r="Q417" s="55">
        <v>1.34</v>
      </c>
    </row>
    <row r="418" spans="1:17" x14ac:dyDescent="0.3">
      <c r="A418" s="1">
        <v>417</v>
      </c>
      <c r="B418" s="98">
        <v>24.476398</v>
      </c>
      <c r="C418" s="98">
        <v>229.595508</v>
      </c>
      <c r="D418" s="98">
        <v>4</v>
      </c>
      <c r="E418" s="98">
        <v>88.899999999999991</v>
      </c>
      <c r="F418" s="98">
        <v>361.95</v>
      </c>
      <c r="G418" s="98">
        <v>304.79999999999995</v>
      </c>
      <c r="H418" s="98">
        <v>67.563999999999993</v>
      </c>
      <c r="I418" s="98">
        <v>12.7</v>
      </c>
      <c r="J418" s="101">
        <f t="shared" si="22"/>
        <v>506.45059999999995</v>
      </c>
      <c r="K418">
        <f t="shared" si="23"/>
        <v>3.5447111111111087</v>
      </c>
      <c r="L418">
        <f t="shared" si="24"/>
        <v>1.573934837092732E-2</v>
      </c>
      <c r="M418" s="98">
        <v>50.8</v>
      </c>
      <c r="N418" s="98">
        <v>7.6200000000000004E-2</v>
      </c>
      <c r="O418" s="10"/>
      <c r="Q418" s="55">
        <v>1.34</v>
      </c>
    </row>
    <row r="419" spans="1:17" x14ac:dyDescent="0.3">
      <c r="A419" s="1">
        <v>418</v>
      </c>
      <c r="B419" s="99">
        <v>31.440105599999999</v>
      </c>
      <c r="C419" s="99">
        <f>0.00689476*50000</f>
        <v>344.738</v>
      </c>
      <c r="D419" s="99">
        <v>1</v>
      </c>
      <c r="E419" s="99">
        <v>88.899999999999991</v>
      </c>
      <c r="F419" s="99">
        <v>361.95</v>
      </c>
      <c r="G419" s="99">
        <v>255.524</v>
      </c>
      <c r="H419" s="98">
        <v>44.449999999999996</v>
      </c>
      <c r="I419" s="99">
        <v>25.4</v>
      </c>
      <c r="J419" s="101">
        <f t="shared" si="22"/>
        <v>506.45059999999995</v>
      </c>
      <c r="K419">
        <f t="shared" si="23"/>
        <v>1.9034844868735086</v>
      </c>
      <c r="L419">
        <f t="shared" si="24"/>
        <v>1.573934837092732E-2</v>
      </c>
      <c r="M419" s="99">
        <v>93.725999999999999</v>
      </c>
      <c r="N419" s="99">
        <v>7.6200000000000004E-2</v>
      </c>
      <c r="O419" s="10"/>
      <c r="Q419" s="55">
        <v>1.8</v>
      </c>
    </row>
    <row r="420" spans="1:17" x14ac:dyDescent="0.3">
      <c r="A420" s="1">
        <v>419</v>
      </c>
      <c r="B420" s="99">
        <v>31.440105599999999</v>
      </c>
      <c r="C420" s="99">
        <f t="shared" ref="C420:C443" si="25">0.00689476*50000</f>
        <v>344.738</v>
      </c>
      <c r="D420" s="99">
        <v>1</v>
      </c>
      <c r="E420" s="99">
        <v>88.899999999999991</v>
      </c>
      <c r="F420" s="99">
        <v>361.95</v>
      </c>
      <c r="G420" s="99">
        <v>286.512</v>
      </c>
      <c r="H420" s="98">
        <v>44.449999999999996</v>
      </c>
      <c r="I420" s="99">
        <v>25.4</v>
      </c>
      <c r="J420" s="101">
        <f t="shared" si="22"/>
        <v>506.45059999999995</v>
      </c>
      <c r="K420">
        <f t="shared" si="23"/>
        <v>2.6853872053872054</v>
      </c>
      <c r="L420">
        <f t="shared" si="24"/>
        <v>1.573934837092732E-2</v>
      </c>
      <c r="M420" s="99">
        <v>62.738</v>
      </c>
      <c r="N420" s="99">
        <v>0.1016</v>
      </c>
      <c r="O420" s="10"/>
      <c r="Q420" s="55">
        <v>1.8</v>
      </c>
    </row>
    <row r="421" spans="1:17" x14ac:dyDescent="0.3">
      <c r="A421" s="1">
        <v>420</v>
      </c>
      <c r="B421" s="99">
        <v>31.440105599999999</v>
      </c>
      <c r="C421" s="99">
        <f t="shared" si="25"/>
        <v>344.738</v>
      </c>
      <c r="D421" s="99">
        <v>1</v>
      </c>
      <c r="E421" s="99">
        <v>88.899999999999991</v>
      </c>
      <c r="F421" s="99">
        <v>361.95</v>
      </c>
      <c r="G421" s="99">
        <v>304.29199999999997</v>
      </c>
      <c r="H421" s="98">
        <v>44.449999999999996</v>
      </c>
      <c r="I421" s="99">
        <v>25.4</v>
      </c>
      <c r="J421" s="101">
        <f t="shared" si="22"/>
        <v>506.45059999999995</v>
      </c>
      <c r="K421">
        <f t="shared" si="23"/>
        <v>3.5134801762114525</v>
      </c>
      <c r="L421">
        <f t="shared" si="24"/>
        <v>1.573934837092732E-2</v>
      </c>
      <c r="M421" s="99">
        <v>44.957999999999998</v>
      </c>
      <c r="N421" s="99">
        <v>0.127</v>
      </c>
      <c r="O421" s="10"/>
      <c r="Q421" s="55">
        <v>1.8</v>
      </c>
    </row>
    <row r="422" spans="1:17" x14ac:dyDescent="0.3">
      <c r="A422" s="1">
        <v>421</v>
      </c>
      <c r="B422" s="99">
        <v>31.440105599999999</v>
      </c>
      <c r="C422" s="99">
        <f t="shared" si="25"/>
        <v>344.738</v>
      </c>
      <c r="D422" s="99">
        <v>1</v>
      </c>
      <c r="E422" s="99">
        <v>88.899999999999991</v>
      </c>
      <c r="F422" s="99">
        <v>361.95</v>
      </c>
      <c r="G422" s="99">
        <v>294.64</v>
      </c>
      <c r="H422" s="98">
        <v>44.449999999999996</v>
      </c>
      <c r="I422" s="99">
        <v>25.4</v>
      </c>
      <c r="J422" s="101">
        <f t="shared" si="22"/>
        <v>506.45059999999995</v>
      </c>
      <c r="K422">
        <f t="shared" si="23"/>
        <v>3.00966037735849</v>
      </c>
      <c r="L422">
        <f t="shared" si="24"/>
        <v>1.573934837092732E-2</v>
      </c>
      <c r="M422" s="99">
        <v>54.609999999999992</v>
      </c>
      <c r="N422" s="99">
        <v>0.17779999999999999</v>
      </c>
      <c r="O422" s="10"/>
      <c r="Q422" s="55">
        <v>1.8</v>
      </c>
    </row>
    <row r="423" spans="1:17" x14ac:dyDescent="0.3">
      <c r="A423" s="1">
        <v>422</v>
      </c>
      <c r="B423" s="99">
        <v>29.164834799999998</v>
      </c>
      <c r="C423" s="99">
        <f t="shared" si="25"/>
        <v>344.738</v>
      </c>
      <c r="D423" s="99">
        <v>1</v>
      </c>
      <c r="E423" s="99">
        <v>88.899999999999991</v>
      </c>
      <c r="F423" s="99">
        <v>361.95</v>
      </c>
      <c r="G423" s="99">
        <v>255.524</v>
      </c>
      <c r="H423" s="98">
        <v>25.4</v>
      </c>
      <c r="I423" s="99">
        <v>25.4</v>
      </c>
      <c r="J423" s="101">
        <f t="shared" si="22"/>
        <v>506.45059999999995</v>
      </c>
      <c r="K423">
        <f t="shared" si="23"/>
        <v>1.9034844868735086</v>
      </c>
      <c r="L423">
        <f t="shared" si="24"/>
        <v>1.573934837092732E-2</v>
      </c>
      <c r="M423" s="99">
        <v>93.725999999999999</v>
      </c>
      <c r="N423" s="99">
        <v>0.1016</v>
      </c>
      <c r="O423" s="10"/>
      <c r="Q423" s="55">
        <v>1.8</v>
      </c>
    </row>
    <row r="424" spans="1:17" x14ac:dyDescent="0.3">
      <c r="A424" s="1">
        <v>423</v>
      </c>
      <c r="B424" s="99">
        <v>29.164834799999998</v>
      </c>
      <c r="C424" s="99">
        <f t="shared" si="25"/>
        <v>344.738</v>
      </c>
      <c r="D424" s="99">
        <v>1</v>
      </c>
      <c r="E424" s="99">
        <v>88.899999999999991</v>
      </c>
      <c r="F424" s="99">
        <v>361.95</v>
      </c>
      <c r="G424" s="99">
        <v>286.512</v>
      </c>
      <c r="H424" s="98">
        <v>25.4</v>
      </c>
      <c r="I424" s="99">
        <v>25.4</v>
      </c>
      <c r="J424" s="101">
        <f t="shared" si="22"/>
        <v>506.45059999999995</v>
      </c>
      <c r="K424">
        <f t="shared" si="23"/>
        <v>2.6853872053872054</v>
      </c>
      <c r="L424">
        <f t="shared" si="24"/>
        <v>1.573934837092732E-2</v>
      </c>
      <c r="M424" s="99">
        <v>62.738</v>
      </c>
      <c r="N424" s="99">
        <v>0.127</v>
      </c>
      <c r="O424" s="10"/>
      <c r="Q424" s="55">
        <v>1.8</v>
      </c>
    </row>
    <row r="425" spans="1:17" x14ac:dyDescent="0.3">
      <c r="A425" s="1">
        <v>424</v>
      </c>
      <c r="B425" s="99">
        <v>29.164834799999998</v>
      </c>
      <c r="C425" s="99">
        <f t="shared" si="25"/>
        <v>344.738</v>
      </c>
      <c r="D425" s="99">
        <v>1</v>
      </c>
      <c r="E425" s="99">
        <v>88.899999999999991</v>
      </c>
      <c r="F425" s="99">
        <v>361.95</v>
      </c>
      <c r="G425" s="99">
        <v>304.29199999999997</v>
      </c>
      <c r="H425" s="98">
        <v>25.4</v>
      </c>
      <c r="I425" s="99">
        <v>25.4</v>
      </c>
      <c r="J425" s="101">
        <f t="shared" si="22"/>
        <v>506.45059999999995</v>
      </c>
      <c r="K425">
        <f t="shared" si="23"/>
        <v>3.5134801762114525</v>
      </c>
      <c r="L425">
        <f t="shared" si="24"/>
        <v>1.573934837092732E-2</v>
      </c>
      <c r="M425" s="99">
        <v>44.957999999999998</v>
      </c>
      <c r="N425" s="99">
        <v>0.127</v>
      </c>
      <c r="O425" s="10"/>
      <c r="Q425" s="55">
        <v>1.8</v>
      </c>
    </row>
    <row r="426" spans="1:17" x14ac:dyDescent="0.3">
      <c r="A426" s="1">
        <v>425</v>
      </c>
      <c r="B426" s="99">
        <v>29.164834799999998</v>
      </c>
      <c r="C426" s="99">
        <f t="shared" si="25"/>
        <v>344.738</v>
      </c>
      <c r="D426" s="99">
        <v>1</v>
      </c>
      <c r="E426" s="99">
        <v>88.899999999999991</v>
      </c>
      <c r="F426" s="99">
        <v>361.95</v>
      </c>
      <c r="G426" s="99">
        <v>294.64</v>
      </c>
      <c r="H426" s="98">
        <v>25.4</v>
      </c>
      <c r="I426" s="99">
        <v>25.4</v>
      </c>
      <c r="J426" s="101">
        <f t="shared" si="22"/>
        <v>506.45059999999995</v>
      </c>
      <c r="K426">
        <f t="shared" si="23"/>
        <v>3.00966037735849</v>
      </c>
      <c r="L426">
        <f t="shared" si="24"/>
        <v>1.573934837092732E-2</v>
      </c>
      <c r="M426" s="99">
        <v>54.609999999999992</v>
      </c>
      <c r="N426" s="99">
        <v>0.17779999999999999</v>
      </c>
      <c r="O426" s="10"/>
      <c r="Q426" s="55">
        <v>1.8</v>
      </c>
    </row>
    <row r="427" spans="1:17" x14ac:dyDescent="0.3">
      <c r="A427" s="1">
        <v>426</v>
      </c>
      <c r="B427" s="99">
        <v>35.7148568</v>
      </c>
      <c r="C427" s="99">
        <f t="shared" si="25"/>
        <v>344.738</v>
      </c>
      <c r="D427" s="99">
        <v>4</v>
      </c>
      <c r="E427" s="99">
        <v>88.899999999999991</v>
      </c>
      <c r="F427" s="99">
        <v>361.95</v>
      </c>
      <c r="G427" s="99">
        <v>278.89199999999994</v>
      </c>
      <c r="H427" s="98">
        <v>25.4</v>
      </c>
      <c r="I427" s="99">
        <v>12.7</v>
      </c>
      <c r="J427" s="101">
        <f t="shared" si="22"/>
        <v>506.45059999999995</v>
      </c>
      <c r="K427">
        <f t="shared" si="23"/>
        <v>2.4390214067278269</v>
      </c>
      <c r="L427">
        <f t="shared" si="24"/>
        <v>1.573934837092732E-2</v>
      </c>
      <c r="M427" s="99">
        <v>76.707999999999998</v>
      </c>
      <c r="N427" s="99">
        <v>7.6200000000000004E-2</v>
      </c>
      <c r="O427" s="10"/>
      <c r="Q427" s="55">
        <v>1.8</v>
      </c>
    </row>
    <row r="428" spans="1:17" x14ac:dyDescent="0.3">
      <c r="A428" s="1">
        <v>427</v>
      </c>
      <c r="B428" s="99">
        <v>35.7148568</v>
      </c>
      <c r="C428" s="99">
        <f t="shared" si="25"/>
        <v>344.738</v>
      </c>
      <c r="D428" s="99">
        <v>4</v>
      </c>
      <c r="E428" s="99">
        <v>88.899999999999991</v>
      </c>
      <c r="F428" s="99">
        <v>361.95</v>
      </c>
      <c r="G428" s="99">
        <v>310.89599999999996</v>
      </c>
      <c r="H428" s="98">
        <v>25.4</v>
      </c>
      <c r="I428" s="99">
        <v>12.7</v>
      </c>
      <c r="J428" s="101">
        <f t="shared" si="22"/>
        <v>506.45059999999995</v>
      </c>
      <c r="K428">
        <f t="shared" si="23"/>
        <v>3.9679601990049722</v>
      </c>
      <c r="L428">
        <f t="shared" si="24"/>
        <v>1.573934837092732E-2</v>
      </c>
      <c r="M428" s="99">
        <v>44.704000000000001</v>
      </c>
      <c r="N428" s="99">
        <v>7.6200000000000004E-2</v>
      </c>
      <c r="O428" s="10"/>
      <c r="Q428" s="55">
        <v>1.8</v>
      </c>
    </row>
    <row r="429" spans="1:17" x14ac:dyDescent="0.3">
      <c r="A429" s="1">
        <v>428</v>
      </c>
      <c r="B429" s="99">
        <v>35.7148568</v>
      </c>
      <c r="C429" s="99">
        <f t="shared" si="25"/>
        <v>344.738</v>
      </c>
      <c r="D429" s="99">
        <v>4</v>
      </c>
      <c r="E429" s="99">
        <v>88.899999999999991</v>
      </c>
      <c r="F429" s="99">
        <v>361.95</v>
      </c>
      <c r="G429" s="99">
        <v>323.34199999999998</v>
      </c>
      <c r="H429" s="98">
        <v>25.4</v>
      </c>
      <c r="I429" s="99">
        <v>12.7</v>
      </c>
      <c r="J429" s="101">
        <f t="shared" si="22"/>
        <v>506.45059999999995</v>
      </c>
      <c r="K429">
        <f t="shared" si="23"/>
        <v>5.2471052631578941</v>
      </c>
      <c r="L429">
        <f t="shared" si="24"/>
        <v>1.573934837092732E-2</v>
      </c>
      <c r="M429" s="99">
        <v>32.257999999999996</v>
      </c>
      <c r="N429" s="99">
        <v>7.6200000000000004E-2</v>
      </c>
      <c r="O429" s="10"/>
      <c r="Q429" s="55">
        <v>1.8</v>
      </c>
    </row>
    <row r="430" spans="1:17" x14ac:dyDescent="0.3">
      <c r="A430" s="1">
        <v>429</v>
      </c>
      <c r="B430" s="99">
        <v>35.7148568</v>
      </c>
      <c r="C430" s="99">
        <f t="shared" si="25"/>
        <v>344.738</v>
      </c>
      <c r="D430" s="99">
        <v>4</v>
      </c>
      <c r="E430" s="99">
        <v>88.899999999999991</v>
      </c>
      <c r="F430" s="99">
        <v>361.95</v>
      </c>
      <c r="G430" s="99">
        <v>318.77</v>
      </c>
      <c r="H430" s="98">
        <v>25.4</v>
      </c>
      <c r="I430" s="99">
        <v>12.7</v>
      </c>
      <c r="J430" s="101">
        <f t="shared" si="22"/>
        <v>506.45059999999995</v>
      </c>
      <c r="K430">
        <f t="shared" si="23"/>
        <v>4.6915294117647051</v>
      </c>
      <c r="L430">
        <f t="shared" si="24"/>
        <v>1.573934837092732E-2</v>
      </c>
      <c r="M430" s="99">
        <v>36.83</v>
      </c>
      <c r="N430" s="99">
        <v>0.127</v>
      </c>
      <c r="O430" s="10"/>
      <c r="Q430" s="55">
        <v>1.8</v>
      </c>
    </row>
    <row r="431" spans="1:17" x14ac:dyDescent="0.3">
      <c r="A431" s="1">
        <v>430</v>
      </c>
      <c r="B431" s="99">
        <v>35.7148568</v>
      </c>
      <c r="C431" s="99">
        <f t="shared" si="25"/>
        <v>344.738</v>
      </c>
      <c r="D431" s="99">
        <v>1</v>
      </c>
      <c r="E431" s="99">
        <v>88.899999999999991</v>
      </c>
      <c r="F431" s="99">
        <v>406.4</v>
      </c>
      <c r="G431" s="99">
        <v>305.56199999999995</v>
      </c>
      <c r="H431" s="98">
        <v>44.449999999999996</v>
      </c>
      <c r="I431" s="99">
        <v>25.4</v>
      </c>
      <c r="J431" s="101">
        <f t="shared" si="22"/>
        <v>506.45059999999995</v>
      </c>
      <c r="K431">
        <f t="shared" si="23"/>
        <v>2.0089672544080597</v>
      </c>
      <c r="L431">
        <f t="shared" si="24"/>
        <v>1.4017857142857144E-2</v>
      </c>
      <c r="M431" s="99">
        <v>88.138000000000005</v>
      </c>
      <c r="N431" s="99">
        <v>7.6200000000000004E-2</v>
      </c>
      <c r="O431" s="10"/>
      <c r="Q431" s="55">
        <v>1.8</v>
      </c>
    </row>
    <row r="432" spans="1:17" x14ac:dyDescent="0.3">
      <c r="A432" s="1">
        <v>431</v>
      </c>
      <c r="B432" s="99">
        <v>35.7148568</v>
      </c>
      <c r="C432" s="99">
        <f t="shared" si="25"/>
        <v>344.738</v>
      </c>
      <c r="D432" s="99">
        <v>1</v>
      </c>
      <c r="E432" s="99">
        <v>88.899999999999991</v>
      </c>
      <c r="F432" s="99">
        <v>406.4</v>
      </c>
      <c r="G432" s="99">
        <v>335.02600000000001</v>
      </c>
      <c r="H432" s="98">
        <v>44.449999999999996</v>
      </c>
      <c r="I432" s="99">
        <v>25.4</v>
      </c>
      <c r="J432" s="101">
        <f t="shared" si="22"/>
        <v>506.45059999999995</v>
      </c>
      <c r="K432">
        <f t="shared" si="23"/>
        <v>2.8382918149466203</v>
      </c>
      <c r="L432">
        <f t="shared" si="24"/>
        <v>1.4017857142857144E-2</v>
      </c>
      <c r="M432" s="99">
        <v>58.673999999999999</v>
      </c>
      <c r="N432" s="99">
        <v>0.1016</v>
      </c>
      <c r="O432" s="10"/>
      <c r="Q432" s="55">
        <v>1.8</v>
      </c>
    </row>
    <row r="433" spans="1:17" x14ac:dyDescent="0.3">
      <c r="A433" s="1">
        <v>432</v>
      </c>
      <c r="B433" s="99">
        <v>35.7148568</v>
      </c>
      <c r="C433" s="99">
        <f t="shared" si="25"/>
        <v>344.738</v>
      </c>
      <c r="D433" s="99">
        <v>1</v>
      </c>
      <c r="E433" s="99">
        <v>88.899999999999991</v>
      </c>
      <c r="F433" s="99">
        <v>406.4</v>
      </c>
      <c r="G433" s="99">
        <v>349.25</v>
      </c>
      <c r="H433" s="98">
        <v>44.449999999999996</v>
      </c>
      <c r="I433" s="99">
        <v>25.4</v>
      </c>
      <c r="J433" s="101">
        <f t="shared" si="22"/>
        <v>506.45059999999995</v>
      </c>
      <c r="K433">
        <f t="shared" si="23"/>
        <v>3.5447111111111123</v>
      </c>
      <c r="L433">
        <f t="shared" si="24"/>
        <v>1.4017857142857144E-2</v>
      </c>
      <c r="M433" s="99">
        <v>44.449999999999996</v>
      </c>
      <c r="N433" s="99">
        <v>0.15240000000000001</v>
      </c>
      <c r="O433" s="10"/>
      <c r="Q433" s="55">
        <v>1.8</v>
      </c>
    </row>
    <row r="434" spans="1:17" x14ac:dyDescent="0.3">
      <c r="A434" s="1">
        <v>433</v>
      </c>
      <c r="B434" s="99">
        <v>35.7148568</v>
      </c>
      <c r="C434" s="99">
        <f t="shared" si="25"/>
        <v>344.738</v>
      </c>
      <c r="D434" s="99">
        <v>1</v>
      </c>
      <c r="E434" s="99">
        <v>88.899999999999991</v>
      </c>
      <c r="F434" s="99">
        <v>406.4</v>
      </c>
      <c r="G434" s="99">
        <v>335.02600000000001</v>
      </c>
      <c r="H434" s="98">
        <v>44.449999999999996</v>
      </c>
      <c r="I434" s="99">
        <v>25.4</v>
      </c>
      <c r="J434" s="101">
        <f t="shared" si="22"/>
        <v>506.45059999999995</v>
      </c>
      <c r="K434">
        <f t="shared" si="23"/>
        <v>2.8382918149466203</v>
      </c>
      <c r="L434">
        <f t="shared" si="24"/>
        <v>1.4017857142857144E-2</v>
      </c>
      <c r="M434" s="99">
        <v>58.673999999999999</v>
      </c>
      <c r="N434" s="99">
        <v>0.254</v>
      </c>
      <c r="O434" s="10"/>
      <c r="Q434" s="55">
        <v>1.8</v>
      </c>
    </row>
    <row r="435" spans="1:17" x14ac:dyDescent="0.3">
      <c r="A435" s="1">
        <v>434</v>
      </c>
      <c r="B435" s="99">
        <v>35.7148568</v>
      </c>
      <c r="C435" s="99">
        <f t="shared" si="25"/>
        <v>344.738</v>
      </c>
      <c r="D435" s="99">
        <v>1</v>
      </c>
      <c r="E435" s="99">
        <v>88.899999999999991</v>
      </c>
      <c r="F435" s="99">
        <v>406.4</v>
      </c>
      <c r="G435" s="99">
        <v>305.56199999999995</v>
      </c>
      <c r="H435" s="98">
        <v>44.449999999999996</v>
      </c>
      <c r="I435" s="99">
        <v>25.4</v>
      </c>
      <c r="J435" s="101">
        <f t="shared" ref="J435:J498" si="26">D435*(3.14/4)*I435*I435</f>
        <v>506.45059999999995</v>
      </c>
      <c r="K435">
        <f t="shared" si="23"/>
        <v>2.0089672544080597</v>
      </c>
      <c r="L435">
        <f t="shared" si="24"/>
        <v>1.4017857142857144E-2</v>
      </c>
      <c r="M435" s="99">
        <v>88.138000000000005</v>
      </c>
      <c r="N435" s="99">
        <v>0.35559999999999997</v>
      </c>
      <c r="O435" s="10"/>
      <c r="Q435" s="55">
        <v>1.8</v>
      </c>
    </row>
    <row r="436" spans="1:17" x14ac:dyDescent="0.3">
      <c r="A436" s="1">
        <v>435</v>
      </c>
      <c r="B436" s="99">
        <v>26.544826</v>
      </c>
      <c r="C436" s="99">
        <f t="shared" si="25"/>
        <v>344.738</v>
      </c>
      <c r="D436" s="99">
        <v>4</v>
      </c>
      <c r="E436" s="99">
        <v>88.899999999999991</v>
      </c>
      <c r="F436" s="99">
        <v>361.95</v>
      </c>
      <c r="G436" s="99">
        <v>278.89199999999994</v>
      </c>
      <c r="H436" s="98">
        <v>25.4</v>
      </c>
      <c r="I436" s="99">
        <v>12.7</v>
      </c>
      <c r="J436" s="101">
        <f t="shared" si="26"/>
        <v>506.45059999999995</v>
      </c>
      <c r="K436">
        <f t="shared" si="23"/>
        <v>2.4390214067278269</v>
      </c>
      <c r="L436">
        <f t="shared" si="24"/>
        <v>1.573934837092732E-2</v>
      </c>
      <c r="M436" s="99">
        <v>76.707999999999998</v>
      </c>
      <c r="N436" s="99">
        <v>7.6200000000000004E-2</v>
      </c>
      <c r="O436" s="10"/>
      <c r="Q436" s="55">
        <v>1.34</v>
      </c>
    </row>
    <row r="437" spans="1:17" x14ac:dyDescent="0.3">
      <c r="A437" s="1">
        <v>436</v>
      </c>
      <c r="B437" s="99">
        <v>26.544826</v>
      </c>
      <c r="C437" s="99">
        <f t="shared" si="25"/>
        <v>344.738</v>
      </c>
      <c r="D437" s="99">
        <v>4</v>
      </c>
      <c r="E437" s="99">
        <v>88.899999999999991</v>
      </c>
      <c r="F437" s="99">
        <v>361.95</v>
      </c>
      <c r="G437" s="99">
        <v>284.47999999999996</v>
      </c>
      <c r="H437" s="98">
        <v>25.4</v>
      </c>
      <c r="I437" s="99">
        <v>12.7</v>
      </c>
      <c r="J437" s="101">
        <f t="shared" si="26"/>
        <v>506.45059999999995</v>
      </c>
      <c r="K437">
        <f t="shared" ref="K437:K502" si="27">J437/(2.5*(F437-G437))</f>
        <v>2.6149508196721301</v>
      </c>
      <c r="L437">
        <f t="shared" si="24"/>
        <v>1.573934837092732E-2</v>
      </c>
      <c r="M437" s="99">
        <v>71.11999999999999</v>
      </c>
      <c r="N437" s="99">
        <v>0.17779999999999999</v>
      </c>
      <c r="O437" s="10"/>
      <c r="Q437" s="55">
        <v>1.34</v>
      </c>
    </row>
    <row r="438" spans="1:17" x14ac:dyDescent="0.3">
      <c r="A438" s="1">
        <v>437</v>
      </c>
      <c r="B438" s="99">
        <v>26.544826</v>
      </c>
      <c r="C438" s="99">
        <f t="shared" si="25"/>
        <v>344.738</v>
      </c>
      <c r="D438" s="99">
        <v>4</v>
      </c>
      <c r="E438" s="99">
        <v>88.899999999999991</v>
      </c>
      <c r="F438" s="99">
        <v>361.95</v>
      </c>
      <c r="G438" s="99">
        <v>249.17400000000001</v>
      </c>
      <c r="H438" s="98">
        <v>25.4</v>
      </c>
      <c r="I438" s="99">
        <v>12.7</v>
      </c>
      <c r="J438" s="101">
        <f t="shared" si="26"/>
        <v>506.45059999999995</v>
      </c>
      <c r="K438">
        <f t="shared" si="27"/>
        <v>1.7963063063063065</v>
      </c>
      <c r="L438">
        <f t="shared" si="24"/>
        <v>1.573934837092732E-2</v>
      </c>
      <c r="M438" s="99">
        <v>106.426</v>
      </c>
      <c r="N438" s="99">
        <v>0.27939999999999998</v>
      </c>
      <c r="O438" s="10"/>
      <c r="Q438" s="55">
        <v>1.34</v>
      </c>
    </row>
    <row r="439" spans="1:17" x14ac:dyDescent="0.3">
      <c r="A439" s="1">
        <v>438</v>
      </c>
      <c r="B439" s="99">
        <v>26.544826</v>
      </c>
      <c r="C439" s="99">
        <f t="shared" si="25"/>
        <v>344.738</v>
      </c>
      <c r="D439" s="99">
        <v>4</v>
      </c>
      <c r="E439" s="99">
        <v>88.899999999999991</v>
      </c>
      <c r="F439" s="99">
        <v>361.95</v>
      </c>
      <c r="G439" s="99">
        <v>215.9</v>
      </c>
      <c r="H439" s="98">
        <v>25.4</v>
      </c>
      <c r="I439" s="99">
        <v>12.7</v>
      </c>
      <c r="J439" s="101">
        <f t="shared" si="26"/>
        <v>506.45059999999995</v>
      </c>
      <c r="K439">
        <f t="shared" si="27"/>
        <v>1.3870608695652176</v>
      </c>
      <c r="L439">
        <f t="shared" si="24"/>
        <v>1.573934837092732E-2</v>
      </c>
      <c r="M439" s="99">
        <v>139.69999999999999</v>
      </c>
      <c r="N439" s="99">
        <v>0.33019999999999999</v>
      </c>
      <c r="O439" s="10"/>
      <c r="Q439" s="55">
        <v>1.34</v>
      </c>
    </row>
    <row r="440" spans="1:17" x14ac:dyDescent="0.3">
      <c r="A440" s="1">
        <v>439</v>
      </c>
      <c r="B440" s="99">
        <v>24.476398</v>
      </c>
      <c r="C440" s="99">
        <f t="shared" si="25"/>
        <v>344.738</v>
      </c>
      <c r="D440" s="99">
        <v>4</v>
      </c>
      <c r="E440" s="99">
        <v>88.899999999999991</v>
      </c>
      <c r="F440" s="99">
        <v>361.95</v>
      </c>
      <c r="G440" s="99">
        <v>272.28800000000001</v>
      </c>
      <c r="H440" s="98">
        <v>67.563999999999993</v>
      </c>
      <c r="I440" s="99">
        <v>12.7</v>
      </c>
      <c r="J440" s="101">
        <f t="shared" si="26"/>
        <v>506.45059999999995</v>
      </c>
      <c r="K440">
        <f t="shared" si="27"/>
        <v>2.2593767705382439</v>
      </c>
      <c r="L440">
        <f t="shared" si="24"/>
        <v>1.573934837092732E-2</v>
      </c>
      <c r="M440" s="99">
        <v>83.311999999999983</v>
      </c>
      <c r="N440" s="99">
        <v>5.0799999999999998E-2</v>
      </c>
      <c r="O440" s="10"/>
      <c r="Q440" s="55">
        <v>1.34</v>
      </c>
    </row>
    <row r="441" spans="1:17" x14ac:dyDescent="0.3">
      <c r="A441" s="1">
        <v>440</v>
      </c>
      <c r="B441" s="99">
        <v>24.476398</v>
      </c>
      <c r="C441" s="99">
        <f t="shared" si="25"/>
        <v>344.738</v>
      </c>
      <c r="D441" s="99">
        <v>4</v>
      </c>
      <c r="E441" s="99">
        <v>88.899999999999991</v>
      </c>
      <c r="F441" s="99">
        <v>361.95</v>
      </c>
      <c r="G441" s="99">
        <v>304.29199999999997</v>
      </c>
      <c r="H441" s="98">
        <v>67.563999999999993</v>
      </c>
      <c r="I441" s="99">
        <v>12.7</v>
      </c>
      <c r="J441" s="101">
        <f t="shared" si="26"/>
        <v>506.45059999999995</v>
      </c>
      <c r="K441">
        <f t="shared" si="27"/>
        <v>3.5134801762114525</v>
      </c>
      <c r="L441">
        <f t="shared" si="24"/>
        <v>1.573934837092732E-2</v>
      </c>
      <c r="M441" s="99">
        <v>51.308</v>
      </c>
      <c r="N441" s="99">
        <v>0.1016</v>
      </c>
      <c r="O441" s="10"/>
      <c r="Q441" s="55">
        <v>1.34</v>
      </c>
    </row>
    <row r="442" spans="1:17" x14ac:dyDescent="0.3">
      <c r="A442" s="1">
        <v>441</v>
      </c>
      <c r="B442" s="99">
        <v>24.476398</v>
      </c>
      <c r="C442" s="99">
        <f t="shared" si="25"/>
        <v>344.738</v>
      </c>
      <c r="D442" s="99">
        <v>4</v>
      </c>
      <c r="E442" s="99">
        <v>88.899999999999991</v>
      </c>
      <c r="F442" s="99">
        <v>361.95</v>
      </c>
      <c r="G442" s="99">
        <v>309.37199999999996</v>
      </c>
      <c r="H442" s="98">
        <v>67.563999999999993</v>
      </c>
      <c r="I442" s="99">
        <v>12.7</v>
      </c>
      <c r="J442" s="101">
        <f t="shared" si="26"/>
        <v>506.45059999999995</v>
      </c>
      <c r="K442">
        <f t="shared" si="27"/>
        <v>3.8529468599033789</v>
      </c>
      <c r="L442">
        <f t="shared" si="24"/>
        <v>1.573934837092732E-2</v>
      </c>
      <c r="M442" s="99">
        <v>46.228000000000002</v>
      </c>
      <c r="N442" s="99">
        <v>0.1016</v>
      </c>
      <c r="O442" s="10"/>
      <c r="Q442" s="55">
        <v>1.34</v>
      </c>
    </row>
    <row r="443" spans="1:17" x14ac:dyDescent="0.3">
      <c r="A443" s="1">
        <v>442</v>
      </c>
      <c r="B443" s="99">
        <v>24.476398</v>
      </c>
      <c r="C443" s="99">
        <f t="shared" si="25"/>
        <v>344.738</v>
      </c>
      <c r="D443" s="99">
        <v>4</v>
      </c>
      <c r="E443" s="99">
        <v>88.899999999999991</v>
      </c>
      <c r="F443" s="99">
        <v>361.95</v>
      </c>
      <c r="G443" s="99">
        <v>304.79999999999995</v>
      </c>
      <c r="H443" s="98">
        <v>67.563999999999993</v>
      </c>
      <c r="I443" s="99">
        <v>12.7</v>
      </c>
      <c r="J443" s="101">
        <f t="shared" si="26"/>
        <v>506.45059999999995</v>
      </c>
      <c r="K443">
        <f t="shared" si="27"/>
        <v>3.5447111111111087</v>
      </c>
      <c r="L443">
        <f t="shared" si="24"/>
        <v>1.573934837092732E-2</v>
      </c>
      <c r="M443" s="99">
        <v>50.8</v>
      </c>
      <c r="N443" s="99">
        <v>0.127</v>
      </c>
      <c r="O443" s="10"/>
      <c r="Q443" s="55">
        <v>1.34</v>
      </c>
    </row>
    <row r="444" spans="1:17" x14ac:dyDescent="0.3">
      <c r="A444" s="1">
        <v>443</v>
      </c>
      <c r="B444" s="96">
        <v>31.440105599999999</v>
      </c>
      <c r="C444" s="96">
        <f>0.00689476*66600</f>
        <v>459.19101599999999</v>
      </c>
      <c r="D444" s="96">
        <v>1</v>
      </c>
      <c r="E444" s="96">
        <v>88.899999999999991</v>
      </c>
      <c r="F444" s="96">
        <v>361.95</v>
      </c>
      <c r="G444" s="96">
        <v>255.524</v>
      </c>
      <c r="H444" s="98">
        <v>44.449999999999996</v>
      </c>
      <c r="I444" s="96">
        <v>25.4</v>
      </c>
      <c r="J444" s="101">
        <f t="shared" si="26"/>
        <v>506.45059999999995</v>
      </c>
      <c r="K444">
        <f t="shared" si="27"/>
        <v>1.9034844868735086</v>
      </c>
      <c r="L444">
        <f t="shared" si="24"/>
        <v>1.573934837092732E-2</v>
      </c>
      <c r="M444" s="96">
        <v>93.725999999999999</v>
      </c>
      <c r="N444" s="96">
        <v>0.127</v>
      </c>
      <c r="O444" s="10"/>
      <c r="Q444" s="13">
        <v>1.8</v>
      </c>
    </row>
    <row r="445" spans="1:17" x14ac:dyDescent="0.3">
      <c r="A445" s="1">
        <v>444</v>
      </c>
      <c r="B445" s="96">
        <v>31.440105599999999</v>
      </c>
      <c r="C445" s="96">
        <f t="shared" ref="C445:C464" si="28">0.00689476*66600</f>
        <v>459.19101599999999</v>
      </c>
      <c r="D445" s="96">
        <v>1</v>
      </c>
      <c r="E445" s="96">
        <v>88.899999999999991</v>
      </c>
      <c r="F445" s="96">
        <v>361.95</v>
      </c>
      <c r="G445" s="96">
        <v>286.512</v>
      </c>
      <c r="H445" s="98">
        <v>44.449999999999996</v>
      </c>
      <c r="I445" s="96">
        <v>25.4</v>
      </c>
      <c r="J445" s="101">
        <f t="shared" si="26"/>
        <v>506.45059999999995</v>
      </c>
      <c r="K445">
        <f t="shared" si="27"/>
        <v>2.6853872053872054</v>
      </c>
      <c r="L445">
        <f t="shared" si="24"/>
        <v>1.573934837092732E-2</v>
      </c>
      <c r="M445" s="96">
        <v>62.738</v>
      </c>
      <c r="N445" s="96">
        <v>0.15240000000000001</v>
      </c>
      <c r="O445" s="10"/>
      <c r="Q445" s="13">
        <v>1.8</v>
      </c>
    </row>
    <row r="446" spans="1:17" x14ac:dyDescent="0.3">
      <c r="A446" s="1">
        <v>445</v>
      </c>
      <c r="B446" s="96">
        <v>31.440105599999999</v>
      </c>
      <c r="C446" s="96">
        <f t="shared" si="28"/>
        <v>459.19101599999999</v>
      </c>
      <c r="D446" s="96">
        <v>1</v>
      </c>
      <c r="E446" s="96">
        <v>88.899999999999991</v>
      </c>
      <c r="F446" s="96">
        <v>361.95</v>
      </c>
      <c r="G446" s="96">
        <v>304.29199999999997</v>
      </c>
      <c r="H446" s="98">
        <v>44.449999999999996</v>
      </c>
      <c r="I446" s="96">
        <v>25.4</v>
      </c>
      <c r="J446" s="101">
        <f t="shared" si="26"/>
        <v>506.45059999999995</v>
      </c>
      <c r="K446">
        <f t="shared" si="27"/>
        <v>3.5134801762114525</v>
      </c>
      <c r="L446">
        <f t="shared" si="24"/>
        <v>1.573934837092732E-2</v>
      </c>
      <c r="M446" s="96">
        <v>44.957999999999998</v>
      </c>
      <c r="N446" s="96">
        <v>0.15240000000000001</v>
      </c>
      <c r="O446" s="10"/>
      <c r="Q446" s="13">
        <v>1.8</v>
      </c>
    </row>
    <row r="447" spans="1:17" x14ac:dyDescent="0.3">
      <c r="A447" s="1">
        <v>446</v>
      </c>
      <c r="B447" s="96">
        <v>31.440105599999999</v>
      </c>
      <c r="C447" s="96">
        <f t="shared" si="28"/>
        <v>459.19101599999999</v>
      </c>
      <c r="D447" s="96">
        <v>1</v>
      </c>
      <c r="E447" s="96">
        <v>88.899999999999991</v>
      </c>
      <c r="F447" s="96">
        <v>361.95</v>
      </c>
      <c r="G447" s="96">
        <v>294.64</v>
      </c>
      <c r="H447" s="98">
        <v>44.449999999999996</v>
      </c>
      <c r="I447" s="96">
        <v>25.4</v>
      </c>
      <c r="J447" s="101">
        <f t="shared" si="26"/>
        <v>506.45059999999995</v>
      </c>
      <c r="K447">
        <f t="shared" si="27"/>
        <v>3.00966037735849</v>
      </c>
      <c r="L447">
        <f t="shared" si="24"/>
        <v>1.573934837092732E-2</v>
      </c>
      <c r="M447" s="96">
        <v>54.609999999999992</v>
      </c>
      <c r="N447" s="96">
        <v>0.22859999999999997</v>
      </c>
      <c r="O447" s="10"/>
      <c r="Q447" s="13">
        <v>1.8</v>
      </c>
    </row>
    <row r="448" spans="1:17" x14ac:dyDescent="0.3">
      <c r="A448" s="1">
        <v>447</v>
      </c>
      <c r="B448" s="96">
        <v>35.7148568</v>
      </c>
      <c r="C448" s="96">
        <f t="shared" si="28"/>
        <v>459.19101599999999</v>
      </c>
      <c r="D448" s="96">
        <v>4</v>
      </c>
      <c r="E448" s="96">
        <v>88.899999999999991</v>
      </c>
      <c r="F448" s="96">
        <v>361.95</v>
      </c>
      <c r="G448" s="96">
        <v>278.89199999999994</v>
      </c>
      <c r="H448" s="98">
        <v>25.4</v>
      </c>
      <c r="I448" s="96">
        <v>12.7</v>
      </c>
      <c r="J448" s="101">
        <f t="shared" si="26"/>
        <v>506.45059999999995</v>
      </c>
      <c r="K448">
        <f t="shared" si="27"/>
        <v>2.4390214067278269</v>
      </c>
      <c r="L448">
        <f t="shared" si="24"/>
        <v>1.573934837092732E-2</v>
      </c>
      <c r="M448" s="96">
        <v>76.707999999999998</v>
      </c>
      <c r="N448" s="96">
        <v>0.1016</v>
      </c>
      <c r="O448" s="10"/>
      <c r="Q448" s="55">
        <v>1.8</v>
      </c>
    </row>
    <row r="449" spans="1:17" x14ac:dyDescent="0.3">
      <c r="A449" s="1">
        <v>448</v>
      </c>
      <c r="B449" s="96">
        <v>35.7148568</v>
      </c>
      <c r="C449" s="96">
        <f t="shared" si="28"/>
        <v>459.19101599999999</v>
      </c>
      <c r="D449" s="96">
        <v>4</v>
      </c>
      <c r="E449" s="96">
        <v>88.899999999999991</v>
      </c>
      <c r="F449" s="96">
        <v>361.95</v>
      </c>
      <c r="G449" s="96">
        <v>310.89599999999996</v>
      </c>
      <c r="H449" s="98">
        <v>25.4</v>
      </c>
      <c r="I449" s="96">
        <v>12.7</v>
      </c>
      <c r="J449" s="101">
        <f t="shared" si="26"/>
        <v>506.45059999999995</v>
      </c>
      <c r="K449">
        <f t="shared" si="27"/>
        <v>3.9679601990049722</v>
      </c>
      <c r="L449">
        <f t="shared" si="24"/>
        <v>1.573934837092732E-2</v>
      </c>
      <c r="M449" s="96">
        <v>44.704000000000001</v>
      </c>
      <c r="N449" s="96">
        <v>8.8899999999999993E-2</v>
      </c>
      <c r="O449" s="10"/>
      <c r="Q449" s="55">
        <v>1.8</v>
      </c>
    </row>
    <row r="450" spans="1:17" x14ac:dyDescent="0.3">
      <c r="A450" s="1">
        <v>449</v>
      </c>
      <c r="B450" s="96">
        <v>35.7148568</v>
      </c>
      <c r="C450" s="96">
        <f t="shared" si="28"/>
        <v>459.19101599999999</v>
      </c>
      <c r="D450" s="96">
        <v>4</v>
      </c>
      <c r="E450" s="96">
        <v>88.899999999999991</v>
      </c>
      <c r="F450" s="96">
        <v>361.95</v>
      </c>
      <c r="G450" s="96">
        <v>323.34199999999998</v>
      </c>
      <c r="H450" s="98">
        <v>25.4</v>
      </c>
      <c r="I450" s="96">
        <v>12.7</v>
      </c>
      <c r="J450" s="101">
        <f t="shared" si="26"/>
        <v>506.45059999999995</v>
      </c>
      <c r="K450">
        <f t="shared" si="27"/>
        <v>5.2471052631578941</v>
      </c>
      <c r="L450">
        <f t="shared" si="24"/>
        <v>1.573934837092732E-2</v>
      </c>
      <c r="M450" s="96">
        <v>32.257999999999996</v>
      </c>
      <c r="N450" s="96">
        <v>0.1016</v>
      </c>
      <c r="O450" s="10"/>
      <c r="Q450" s="55">
        <v>1.8</v>
      </c>
    </row>
    <row r="451" spans="1:17" x14ac:dyDescent="0.3">
      <c r="A451" s="1">
        <v>450</v>
      </c>
      <c r="B451" s="96">
        <v>35.7148568</v>
      </c>
      <c r="C451" s="96">
        <f t="shared" si="28"/>
        <v>459.19101599999999</v>
      </c>
      <c r="D451" s="96">
        <v>4</v>
      </c>
      <c r="E451" s="96">
        <v>88.899999999999991</v>
      </c>
      <c r="F451" s="96">
        <v>361.95</v>
      </c>
      <c r="G451" s="96">
        <v>318.77</v>
      </c>
      <c r="H451" s="98">
        <v>25.4</v>
      </c>
      <c r="I451" s="96">
        <v>12.7</v>
      </c>
      <c r="J451" s="101">
        <f t="shared" si="26"/>
        <v>506.45059999999995</v>
      </c>
      <c r="K451">
        <f t="shared" si="27"/>
        <v>4.6915294117647051</v>
      </c>
      <c r="L451">
        <f t="shared" ref="L451:L509" si="29">J451/(E451*F451)</f>
        <v>1.573934837092732E-2</v>
      </c>
      <c r="M451" s="96">
        <v>36.83</v>
      </c>
      <c r="N451" s="96">
        <v>0.17779999999999999</v>
      </c>
      <c r="O451" s="10"/>
      <c r="Q451" s="55">
        <v>1.8</v>
      </c>
    </row>
    <row r="452" spans="1:17" x14ac:dyDescent="0.3">
      <c r="A452" s="1">
        <v>451</v>
      </c>
      <c r="B452" s="96">
        <v>35.7148568</v>
      </c>
      <c r="C452" s="96">
        <f t="shared" si="28"/>
        <v>459.19101599999999</v>
      </c>
      <c r="D452" s="96">
        <v>1</v>
      </c>
      <c r="E452" s="96">
        <v>88.899999999999991</v>
      </c>
      <c r="F452" s="96">
        <v>406.4</v>
      </c>
      <c r="G452" s="96">
        <v>305.56199999999995</v>
      </c>
      <c r="H452" s="98">
        <v>44.449999999999996</v>
      </c>
      <c r="I452" s="96">
        <v>25.4</v>
      </c>
      <c r="J452" s="101">
        <f t="shared" si="26"/>
        <v>506.45059999999995</v>
      </c>
      <c r="K452">
        <f t="shared" si="27"/>
        <v>2.0089672544080597</v>
      </c>
      <c r="L452">
        <f t="shared" si="29"/>
        <v>1.4017857142857144E-2</v>
      </c>
      <c r="M452" s="96">
        <v>88.138000000000005</v>
      </c>
      <c r="N452" s="96">
        <v>0.1016</v>
      </c>
      <c r="O452" s="10"/>
      <c r="Q452" s="55">
        <v>1.8</v>
      </c>
    </row>
    <row r="453" spans="1:17" x14ac:dyDescent="0.3">
      <c r="A453" s="1">
        <v>452</v>
      </c>
      <c r="B453" s="96">
        <v>35.7148568</v>
      </c>
      <c r="C453" s="96">
        <f t="shared" si="28"/>
        <v>459.19101599999999</v>
      </c>
      <c r="D453" s="96">
        <v>1</v>
      </c>
      <c r="E453" s="96">
        <v>88.899999999999991</v>
      </c>
      <c r="F453" s="96">
        <v>406.4</v>
      </c>
      <c r="G453" s="96">
        <v>335.02600000000001</v>
      </c>
      <c r="H453" s="98">
        <v>44.449999999999996</v>
      </c>
      <c r="I453" s="96">
        <v>25.4</v>
      </c>
      <c r="J453" s="101">
        <f t="shared" si="26"/>
        <v>506.45059999999995</v>
      </c>
      <c r="K453">
        <f t="shared" si="27"/>
        <v>2.8382918149466203</v>
      </c>
      <c r="L453">
        <f t="shared" si="29"/>
        <v>1.4017857142857144E-2</v>
      </c>
      <c r="M453" s="96">
        <v>58.673999999999999</v>
      </c>
      <c r="N453" s="96">
        <v>0.15240000000000001</v>
      </c>
      <c r="O453" s="10"/>
      <c r="Q453" s="55">
        <v>1.8</v>
      </c>
    </row>
    <row r="454" spans="1:17" x14ac:dyDescent="0.3">
      <c r="A454" s="1">
        <v>453</v>
      </c>
      <c r="B454" s="96">
        <v>35.7148568</v>
      </c>
      <c r="C454" s="96">
        <f t="shared" si="28"/>
        <v>459.19101599999999</v>
      </c>
      <c r="D454" s="96">
        <v>1</v>
      </c>
      <c r="E454" s="96">
        <v>88.899999999999991</v>
      </c>
      <c r="F454" s="96">
        <v>406.4</v>
      </c>
      <c r="G454" s="96">
        <v>349.25</v>
      </c>
      <c r="H454" s="98">
        <v>44.449999999999996</v>
      </c>
      <c r="I454" s="96">
        <v>25.4</v>
      </c>
      <c r="J454" s="101">
        <f t="shared" si="26"/>
        <v>506.45059999999995</v>
      </c>
      <c r="K454">
        <f t="shared" si="27"/>
        <v>3.5447111111111123</v>
      </c>
      <c r="L454">
        <f t="shared" si="29"/>
        <v>1.4017857142857144E-2</v>
      </c>
      <c r="M454" s="96">
        <v>44.449999999999996</v>
      </c>
      <c r="N454" s="96">
        <v>0.17779999999999999</v>
      </c>
      <c r="O454" s="10"/>
      <c r="Q454" s="55">
        <v>1.8</v>
      </c>
    </row>
    <row r="455" spans="1:17" x14ac:dyDescent="0.3">
      <c r="A455" s="1">
        <v>454</v>
      </c>
      <c r="B455" s="96">
        <v>35.7148568</v>
      </c>
      <c r="C455" s="96">
        <f t="shared" si="28"/>
        <v>459.19101599999999</v>
      </c>
      <c r="D455" s="96">
        <v>1</v>
      </c>
      <c r="E455" s="96">
        <v>88.899999999999991</v>
      </c>
      <c r="F455" s="96">
        <v>406.4</v>
      </c>
      <c r="G455" s="96">
        <v>335.02600000000001</v>
      </c>
      <c r="H455" s="98">
        <v>44.449999999999996</v>
      </c>
      <c r="I455" s="96">
        <v>25.4</v>
      </c>
      <c r="J455" s="101">
        <f t="shared" si="26"/>
        <v>506.45059999999995</v>
      </c>
      <c r="K455">
        <f t="shared" si="27"/>
        <v>2.8382918149466203</v>
      </c>
      <c r="L455">
        <f t="shared" si="29"/>
        <v>1.4017857142857144E-2</v>
      </c>
      <c r="M455" s="96">
        <v>58.673999999999999</v>
      </c>
      <c r="N455" s="96">
        <v>0.30480000000000002</v>
      </c>
      <c r="O455" s="10"/>
      <c r="Q455" s="55">
        <v>1.8</v>
      </c>
    </row>
    <row r="456" spans="1:17" x14ac:dyDescent="0.3">
      <c r="A456" s="1">
        <v>455</v>
      </c>
      <c r="B456" s="96">
        <v>35.7148568</v>
      </c>
      <c r="C456" s="96">
        <f t="shared" si="28"/>
        <v>459.19101599999999</v>
      </c>
      <c r="D456" s="96">
        <v>1</v>
      </c>
      <c r="E456" s="96">
        <v>88.899999999999991</v>
      </c>
      <c r="F456" s="96">
        <v>406.4</v>
      </c>
      <c r="G456" s="96">
        <v>305.56199999999995</v>
      </c>
      <c r="H456" s="98">
        <v>44.449999999999996</v>
      </c>
      <c r="I456" s="96">
        <v>25.4</v>
      </c>
      <c r="J456" s="101">
        <f t="shared" si="26"/>
        <v>506.45059999999995</v>
      </c>
      <c r="K456">
        <f t="shared" si="27"/>
        <v>2.0089672544080597</v>
      </c>
      <c r="L456">
        <f t="shared" si="29"/>
        <v>1.4017857142857144E-2</v>
      </c>
      <c r="M456" s="96">
        <v>88.138000000000005</v>
      </c>
      <c r="N456" s="96">
        <v>0.53339999999999999</v>
      </c>
      <c r="O456" s="10"/>
      <c r="Q456" s="55">
        <v>1.8</v>
      </c>
    </row>
    <row r="457" spans="1:17" x14ac:dyDescent="0.3">
      <c r="A457" s="1">
        <v>456</v>
      </c>
      <c r="B457" s="96">
        <v>26.544826</v>
      </c>
      <c r="C457" s="96">
        <f t="shared" si="28"/>
        <v>459.19101599999999</v>
      </c>
      <c r="D457" s="96">
        <v>4</v>
      </c>
      <c r="E457" s="96">
        <v>88.899999999999991</v>
      </c>
      <c r="F457" s="96">
        <v>361.95</v>
      </c>
      <c r="G457" s="96">
        <v>278.89199999999994</v>
      </c>
      <c r="H457" s="98">
        <v>25.4</v>
      </c>
      <c r="I457" s="96">
        <v>12.7</v>
      </c>
      <c r="J457" s="101">
        <f t="shared" si="26"/>
        <v>506.45059999999995</v>
      </c>
      <c r="K457">
        <f t="shared" si="27"/>
        <v>2.4390214067278269</v>
      </c>
      <c r="L457">
        <f t="shared" si="29"/>
        <v>1.573934837092732E-2</v>
      </c>
      <c r="M457" s="96">
        <v>76.707999999999998</v>
      </c>
      <c r="N457" s="96">
        <v>0.1016</v>
      </c>
      <c r="O457" s="10"/>
      <c r="Q457" s="55">
        <v>1.34</v>
      </c>
    </row>
    <row r="458" spans="1:17" x14ac:dyDescent="0.3">
      <c r="A458" s="1">
        <v>457</v>
      </c>
      <c r="B458" s="96">
        <v>26.544826</v>
      </c>
      <c r="C458" s="96">
        <f t="shared" si="28"/>
        <v>459.19101599999999</v>
      </c>
      <c r="D458" s="96">
        <v>4</v>
      </c>
      <c r="E458" s="96">
        <v>88.899999999999991</v>
      </c>
      <c r="F458" s="96">
        <v>361.95</v>
      </c>
      <c r="G458" s="96">
        <v>284.47999999999996</v>
      </c>
      <c r="H458" s="98">
        <v>25.4</v>
      </c>
      <c r="I458" s="96">
        <v>12.7</v>
      </c>
      <c r="J458" s="101">
        <f t="shared" si="26"/>
        <v>506.45059999999995</v>
      </c>
      <c r="K458">
        <f t="shared" si="27"/>
        <v>2.6149508196721301</v>
      </c>
      <c r="L458">
        <f t="shared" si="29"/>
        <v>1.573934837092732E-2</v>
      </c>
      <c r="M458" s="96">
        <v>71.11999999999999</v>
      </c>
      <c r="N458" s="96">
        <v>0.30480000000000002</v>
      </c>
      <c r="O458" s="10"/>
      <c r="Q458" s="55">
        <v>1.34</v>
      </c>
    </row>
    <row r="459" spans="1:17" x14ac:dyDescent="0.3">
      <c r="A459" s="1">
        <v>458</v>
      </c>
      <c r="B459" s="96">
        <v>26.544826</v>
      </c>
      <c r="C459" s="96">
        <f t="shared" si="28"/>
        <v>459.19101599999999</v>
      </c>
      <c r="D459" s="96">
        <v>4</v>
      </c>
      <c r="E459" s="96">
        <v>88.899999999999991</v>
      </c>
      <c r="F459" s="96">
        <v>361.95</v>
      </c>
      <c r="G459" s="96">
        <v>249.17400000000001</v>
      </c>
      <c r="H459" s="98">
        <v>25.4</v>
      </c>
      <c r="I459" s="96">
        <v>12.7</v>
      </c>
      <c r="J459" s="101">
        <f t="shared" si="26"/>
        <v>506.45059999999995</v>
      </c>
      <c r="K459">
        <f t="shared" si="27"/>
        <v>1.7963063063063065</v>
      </c>
      <c r="L459">
        <f t="shared" si="29"/>
        <v>1.573934837092732E-2</v>
      </c>
      <c r="M459" s="96">
        <v>106.426</v>
      </c>
      <c r="N459" s="96">
        <v>0.45719999999999994</v>
      </c>
      <c r="O459" s="10"/>
      <c r="Q459" s="55">
        <v>1.34</v>
      </c>
    </row>
    <row r="460" spans="1:17" x14ac:dyDescent="0.3">
      <c r="A460" s="1">
        <v>459</v>
      </c>
      <c r="B460" s="96">
        <v>26.544826</v>
      </c>
      <c r="C460" s="96">
        <f t="shared" si="28"/>
        <v>459.19101599999999</v>
      </c>
      <c r="D460" s="96">
        <v>4</v>
      </c>
      <c r="E460" s="96">
        <v>88.899999999999991</v>
      </c>
      <c r="F460" s="96">
        <v>361.95</v>
      </c>
      <c r="G460" s="96">
        <v>215.9</v>
      </c>
      <c r="H460" s="98">
        <v>25.4</v>
      </c>
      <c r="I460" s="96">
        <v>12.7</v>
      </c>
      <c r="J460" s="101">
        <f t="shared" si="26"/>
        <v>506.45059999999995</v>
      </c>
      <c r="K460">
        <f t="shared" si="27"/>
        <v>1.3870608695652176</v>
      </c>
      <c r="L460">
        <f t="shared" si="29"/>
        <v>1.573934837092732E-2</v>
      </c>
      <c r="M460" s="96">
        <v>139.69999999999999</v>
      </c>
      <c r="N460" s="96">
        <v>0.60960000000000003</v>
      </c>
      <c r="O460" s="10"/>
      <c r="Q460" s="55">
        <v>1.34</v>
      </c>
    </row>
    <row r="461" spans="1:17" x14ac:dyDescent="0.3">
      <c r="A461" s="1">
        <v>460</v>
      </c>
      <c r="B461" s="96">
        <v>24.476398</v>
      </c>
      <c r="C461" s="96">
        <f t="shared" si="28"/>
        <v>459.19101599999999</v>
      </c>
      <c r="D461" s="96">
        <v>4</v>
      </c>
      <c r="E461" s="96">
        <v>88.899999999999991</v>
      </c>
      <c r="F461" s="96">
        <v>361.95</v>
      </c>
      <c r="G461" s="96">
        <v>272.28800000000001</v>
      </c>
      <c r="H461" s="98">
        <v>67.563999999999993</v>
      </c>
      <c r="I461" s="96">
        <v>12.7</v>
      </c>
      <c r="J461" s="101">
        <f t="shared" si="26"/>
        <v>506.45059999999995</v>
      </c>
      <c r="K461">
        <f t="shared" si="27"/>
        <v>2.2593767705382439</v>
      </c>
      <c r="L461">
        <f t="shared" si="29"/>
        <v>1.573934837092732E-2</v>
      </c>
      <c r="M461" s="96">
        <v>83.311999999999983</v>
      </c>
      <c r="N461" s="96">
        <v>0.1016</v>
      </c>
      <c r="O461" s="10"/>
      <c r="Q461" s="55">
        <v>1.34</v>
      </c>
    </row>
    <row r="462" spans="1:17" x14ac:dyDescent="0.3">
      <c r="A462" s="1">
        <v>461</v>
      </c>
      <c r="B462" s="96">
        <v>24.476398</v>
      </c>
      <c r="C462" s="96">
        <f t="shared" si="28"/>
        <v>459.19101599999999</v>
      </c>
      <c r="D462" s="96">
        <v>4</v>
      </c>
      <c r="E462" s="96">
        <v>88.899999999999991</v>
      </c>
      <c r="F462" s="96">
        <v>361.95</v>
      </c>
      <c r="G462" s="96">
        <v>304.29199999999997</v>
      </c>
      <c r="H462" s="98">
        <v>67.563999999999993</v>
      </c>
      <c r="I462" s="96">
        <v>12.7</v>
      </c>
      <c r="J462" s="101">
        <f t="shared" si="26"/>
        <v>506.45059999999995</v>
      </c>
      <c r="K462">
        <f t="shared" si="27"/>
        <v>3.5134801762114525</v>
      </c>
      <c r="L462">
        <f t="shared" si="29"/>
        <v>1.573934837092732E-2</v>
      </c>
      <c r="M462" s="96">
        <v>51.308</v>
      </c>
      <c r="N462" s="96">
        <v>0.15240000000000001</v>
      </c>
      <c r="O462" s="10"/>
      <c r="Q462" s="55">
        <v>1.34</v>
      </c>
    </row>
    <row r="463" spans="1:17" x14ac:dyDescent="0.3">
      <c r="A463" s="1">
        <v>462</v>
      </c>
      <c r="B463" s="96">
        <v>24.476398</v>
      </c>
      <c r="C463" s="96">
        <f t="shared" si="28"/>
        <v>459.19101599999999</v>
      </c>
      <c r="D463" s="96">
        <v>4</v>
      </c>
      <c r="E463" s="96">
        <v>88.899999999999991</v>
      </c>
      <c r="F463" s="96">
        <v>361.95</v>
      </c>
      <c r="G463" s="96">
        <v>309.37199999999996</v>
      </c>
      <c r="H463" s="98">
        <v>67.563999999999993</v>
      </c>
      <c r="I463" s="96">
        <v>12.7</v>
      </c>
      <c r="J463" s="101">
        <f t="shared" si="26"/>
        <v>506.45059999999995</v>
      </c>
      <c r="K463">
        <f t="shared" si="27"/>
        <v>3.8529468599033789</v>
      </c>
      <c r="L463">
        <f t="shared" si="29"/>
        <v>1.573934837092732E-2</v>
      </c>
      <c r="M463" s="96">
        <v>46.228000000000002</v>
      </c>
      <c r="N463" s="96">
        <v>0.15240000000000001</v>
      </c>
      <c r="O463" s="10"/>
      <c r="Q463" s="55">
        <v>1.34</v>
      </c>
    </row>
    <row r="464" spans="1:17" x14ac:dyDescent="0.3">
      <c r="A464" s="1">
        <v>463</v>
      </c>
      <c r="B464" s="96">
        <v>24.476398</v>
      </c>
      <c r="C464" s="96">
        <f t="shared" si="28"/>
        <v>459.19101599999999</v>
      </c>
      <c r="D464" s="96">
        <v>4</v>
      </c>
      <c r="E464" s="96">
        <v>88.899999999999991</v>
      </c>
      <c r="F464" s="96">
        <v>361.95</v>
      </c>
      <c r="G464" s="96">
        <v>304.79999999999995</v>
      </c>
      <c r="H464" s="98">
        <v>67.563999999999993</v>
      </c>
      <c r="I464" s="96">
        <v>12.7</v>
      </c>
      <c r="J464" s="101">
        <f t="shared" si="26"/>
        <v>506.45059999999995</v>
      </c>
      <c r="K464">
        <f t="shared" si="27"/>
        <v>3.5447111111111087</v>
      </c>
      <c r="L464">
        <f t="shared" si="29"/>
        <v>1.573934837092732E-2</v>
      </c>
      <c r="M464" s="96">
        <v>50.8</v>
      </c>
      <c r="N464" s="96">
        <v>0.20319999999999999</v>
      </c>
      <c r="O464" s="10"/>
      <c r="Q464" s="55">
        <v>1.34</v>
      </c>
    </row>
    <row r="465" spans="1:17" x14ac:dyDescent="0.3">
      <c r="A465" s="1">
        <v>464</v>
      </c>
      <c r="B465">
        <v>40</v>
      </c>
      <c r="C465">
        <v>183.11723103760107</v>
      </c>
      <c r="D465">
        <v>6</v>
      </c>
      <c r="E465">
        <v>600</v>
      </c>
      <c r="F465">
        <v>400</v>
      </c>
      <c r="G465">
        <v>333.875</v>
      </c>
      <c r="H465" s="13">
        <v>83.333333333333329</v>
      </c>
      <c r="I465">
        <v>16.25</v>
      </c>
      <c r="J465" s="101">
        <f t="shared" si="26"/>
        <v>1243.734375</v>
      </c>
      <c r="K465">
        <f t="shared" si="27"/>
        <v>7.5235349716446125</v>
      </c>
      <c r="L465">
        <f t="shared" si="29"/>
        <v>5.1822265625000004E-3</v>
      </c>
      <c r="M465" s="13">
        <v>50</v>
      </c>
      <c r="N465" s="9">
        <v>0.08</v>
      </c>
      <c r="O465" s="10" t="s">
        <v>31</v>
      </c>
      <c r="Q465" s="13"/>
    </row>
    <row r="466" spans="1:17" x14ac:dyDescent="0.3">
      <c r="A466" s="1">
        <v>465</v>
      </c>
      <c r="B466">
        <v>40</v>
      </c>
      <c r="C466">
        <v>219.02257045673855</v>
      </c>
      <c r="D466">
        <v>6</v>
      </c>
      <c r="E466">
        <v>600</v>
      </c>
      <c r="F466">
        <v>400</v>
      </c>
      <c r="G466">
        <v>333.875</v>
      </c>
      <c r="H466" s="13">
        <v>83.333333333333329</v>
      </c>
      <c r="I466">
        <v>16.25</v>
      </c>
      <c r="J466" s="101">
        <f t="shared" si="26"/>
        <v>1243.734375</v>
      </c>
      <c r="K466">
        <f t="shared" si="27"/>
        <v>7.5235349716446125</v>
      </c>
      <c r="L466">
        <f t="shared" si="29"/>
        <v>5.1822265625000004E-3</v>
      </c>
      <c r="M466" s="13">
        <v>50</v>
      </c>
      <c r="N466" s="9">
        <v>0.11</v>
      </c>
      <c r="O466" s="10"/>
      <c r="Q466" s="13"/>
    </row>
    <row r="467" spans="1:17" x14ac:dyDescent="0.3">
      <c r="A467" s="1">
        <v>466</v>
      </c>
      <c r="B467">
        <v>40</v>
      </c>
      <c r="C467">
        <v>272.88057958544476</v>
      </c>
      <c r="D467">
        <v>6</v>
      </c>
      <c r="E467">
        <v>600</v>
      </c>
      <c r="F467">
        <v>400</v>
      </c>
      <c r="G467">
        <v>333.875</v>
      </c>
      <c r="H467" s="13">
        <v>83.333333333333329</v>
      </c>
      <c r="I467">
        <v>16.25</v>
      </c>
      <c r="J467" s="101">
        <f t="shared" si="26"/>
        <v>1243.734375</v>
      </c>
      <c r="K467">
        <f t="shared" si="27"/>
        <v>7.5235349716446125</v>
      </c>
      <c r="L467">
        <f t="shared" si="29"/>
        <v>5.1822265625000004E-3</v>
      </c>
      <c r="M467" s="13">
        <v>50</v>
      </c>
      <c r="N467" s="9">
        <v>0.19</v>
      </c>
      <c r="O467" s="10"/>
      <c r="Q467" s="13"/>
    </row>
    <row r="468" spans="1:17" x14ac:dyDescent="0.3">
      <c r="A468" s="1">
        <v>467</v>
      </c>
      <c r="B468">
        <v>40</v>
      </c>
      <c r="C468">
        <v>341.10072448180591</v>
      </c>
      <c r="D468">
        <v>6</v>
      </c>
      <c r="E468">
        <v>600</v>
      </c>
      <c r="F468">
        <v>400</v>
      </c>
      <c r="G468">
        <v>333.875</v>
      </c>
      <c r="H468" s="13">
        <v>83.333333333333329</v>
      </c>
      <c r="I468">
        <v>16.25</v>
      </c>
      <c r="J468" s="101">
        <f t="shared" si="26"/>
        <v>1243.734375</v>
      </c>
      <c r="K468">
        <f t="shared" si="27"/>
        <v>7.5235349716446125</v>
      </c>
      <c r="L468">
        <f t="shared" si="29"/>
        <v>5.1822265625000004E-3</v>
      </c>
      <c r="M468" s="13">
        <v>50</v>
      </c>
      <c r="N468" s="9">
        <v>0.31</v>
      </c>
      <c r="O468" s="10"/>
      <c r="Q468" s="13"/>
    </row>
    <row r="469" spans="1:17" x14ac:dyDescent="0.3">
      <c r="A469" s="1">
        <v>468</v>
      </c>
      <c r="B469">
        <v>40</v>
      </c>
      <c r="C469">
        <v>205.35622931940154</v>
      </c>
      <c r="D469">
        <v>6</v>
      </c>
      <c r="E469">
        <v>600</v>
      </c>
      <c r="F469">
        <v>400</v>
      </c>
      <c r="G469">
        <v>332</v>
      </c>
      <c r="H469" s="13">
        <v>83.333333333333329</v>
      </c>
      <c r="I469">
        <v>20</v>
      </c>
      <c r="J469" s="101">
        <f t="shared" si="26"/>
        <v>1884</v>
      </c>
      <c r="K469">
        <f t="shared" si="27"/>
        <v>11.08235294117647</v>
      </c>
      <c r="L469">
        <f t="shared" si="29"/>
        <v>7.8499999999999993E-3</v>
      </c>
      <c r="M469" s="13">
        <v>50</v>
      </c>
      <c r="N469" s="9">
        <v>0.09</v>
      </c>
      <c r="O469" s="10"/>
      <c r="Q469" s="13"/>
    </row>
    <row r="470" spans="1:17" x14ac:dyDescent="0.3">
      <c r="A470" s="1">
        <v>469</v>
      </c>
      <c r="B470">
        <v>40</v>
      </c>
      <c r="C470">
        <v>245.94990255695768</v>
      </c>
      <c r="D470">
        <v>6</v>
      </c>
      <c r="E470">
        <v>600</v>
      </c>
      <c r="F470">
        <v>400</v>
      </c>
      <c r="G470">
        <v>332</v>
      </c>
      <c r="H470" s="13">
        <v>83.333333333333329</v>
      </c>
      <c r="I470">
        <v>20</v>
      </c>
      <c r="J470" s="101">
        <f t="shared" si="26"/>
        <v>1884</v>
      </c>
      <c r="K470">
        <f t="shared" si="27"/>
        <v>11.08235294117647</v>
      </c>
      <c r="L470">
        <f t="shared" si="29"/>
        <v>7.8499999999999993E-3</v>
      </c>
      <c r="M470" s="13">
        <v>50</v>
      </c>
      <c r="N470" s="9">
        <v>0.15</v>
      </c>
      <c r="O470" s="10"/>
      <c r="Q470" s="13"/>
    </row>
    <row r="471" spans="1:17" x14ac:dyDescent="0.3">
      <c r="A471" s="1">
        <v>470</v>
      </c>
      <c r="B471">
        <v>40</v>
      </c>
      <c r="C471">
        <v>308.03434397910235</v>
      </c>
      <c r="D471">
        <v>6</v>
      </c>
      <c r="E471">
        <v>600</v>
      </c>
      <c r="F471">
        <v>400</v>
      </c>
      <c r="G471">
        <v>332</v>
      </c>
      <c r="H471" s="13">
        <v>83.333333333333329</v>
      </c>
      <c r="I471">
        <v>20</v>
      </c>
      <c r="J471" s="101">
        <f t="shared" si="26"/>
        <v>1884</v>
      </c>
      <c r="K471">
        <f t="shared" si="27"/>
        <v>11.08235294117647</v>
      </c>
      <c r="L471">
        <f t="shared" si="29"/>
        <v>7.8499999999999993E-3</v>
      </c>
      <c r="M471" s="13">
        <v>50</v>
      </c>
      <c r="N471" s="9">
        <v>0.22</v>
      </c>
      <c r="O471" s="10"/>
      <c r="Q471" s="13"/>
    </row>
    <row r="472" spans="1:17" x14ac:dyDescent="0.3">
      <c r="A472" s="1">
        <v>471</v>
      </c>
      <c r="B472">
        <v>40</v>
      </c>
      <c r="C472">
        <v>384.44596419097269</v>
      </c>
      <c r="D472">
        <v>6</v>
      </c>
      <c r="E472">
        <v>600</v>
      </c>
      <c r="F472">
        <v>400</v>
      </c>
      <c r="G472">
        <v>332</v>
      </c>
      <c r="H472" s="3">
        <v>83.333333333333329</v>
      </c>
      <c r="I472">
        <v>20</v>
      </c>
      <c r="J472" s="101">
        <f t="shared" si="26"/>
        <v>1884</v>
      </c>
      <c r="K472">
        <f t="shared" si="27"/>
        <v>11.08235294117647</v>
      </c>
      <c r="L472">
        <f t="shared" si="29"/>
        <v>7.8499999999999993E-3</v>
      </c>
      <c r="M472" s="13">
        <v>50</v>
      </c>
      <c r="N472" s="9">
        <v>0.27</v>
      </c>
    </row>
    <row r="473" spans="1:17" x14ac:dyDescent="0.3">
      <c r="A473" s="1">
        <v>472</v>
      </c>
      <c r="B473">
        <v>40</v>
      </c>
      <c r="C473">
        <v>197.64288492579337</v>
      </c>
      <c r="D473">
        <v>9</v>
      </c>
      <c r="E473">
        <v>600</v>
      </c>
      <c r="F473">
        <v>400</v>
      </c>
      <c r="G473">
        <v>332</v>
      </c>
      <c r="H473" s="3">
        <v>55.555555555555557</v>
      </c>
      <c r="I473">
        <v>20</v>
      </c>
      <c r="J473" s="101">
        <f t="shared" si="26"/>
        <v>2826</v>
      </c>
      <c r="K473">
        <f t="shared" si="27"/>
        <v>16.623529411764707</v>
      </c>
      <c r="L473">
        <f t="shared" si="29"/>
        <v>1.1775000000000001E-2</v>
      </c>
      <c r="M473" s="13">
        <v>50</v>
      </c>
      <c r="N473" s="9">
        <v>0.14000000000000001</v>
      </c>
    </row>
    <row r="474" spans="1:17" x14ac:dyDescent="0.3">
      <c r="A474" s="1">
        <v>473</v>
      </c>
      <c r="B474">
        <v>40</v>
      </c>
      <c r="C474">
        <v>237.49024075760656</v>
      </c>
      <c r="D474">
        <v>9</v>
      </c>
      <c r="E474">
        <v>600</v>
      </c>
      <c r="F474">
        <v>400</v>
      </c>
      <c r="G474">
        <v>332</v>
      </c>
      <c r="H474" s="3">
        <v>55.555555555555557</v>
      </c>
      <c r="I474">
        <v>20</v>
      </c>
      <c r="J474" s="101">
        <f t="shared" si="26"/>
        <v>2826</v>
      </c>
      <c r="K474">
        <f t="shared" si="27"/>
        <v>16.623529411764707</v>
      </c>
      <c r="L474">
        <f t="shared" si="29"/>
        <v>1.1775000000000001E-2</v>
      </c>
      <c r="M474" s="13">
        <v>50</v>
      </c>
      <c r="N474" s="9">
        <v>0.18</v>
      </c>
    </row>
    <row r="475" spans="1:17" x14ac:dyDescent="0.3">
      <c r="A475" s="1">
        <v>474</v>
      </c>
      <c r="B475">
        <v>40</v>
      </c>
      <c r="C475">
        <v>296.46432738869009</v>
      </c>
      <c r="D475">
        <v>9</v>
      </c>
      <c r="E475">
        <v>600</v>
      </c>
      <c r="F475">
        <v>400</v>
      </c>
      <c r="G475">
        <v>332</v>
      </c>
      <c r="H475" s="3">
        <v>55.555555555555557</v>
      </c>
      <c r="I475">
        <v>20</v>
      </c>
      <c r="J475" s="101">
        <f t="shared" si="26"/>
        <v>2826</v>
      </c>
      <c r="K475">
        <f t="shared" si="27"/>
        <v>16.623529411764707</v>
      </c>
      <c r="L475">
        <f t="shared" si="29"/>
        <v>1.1775000000000001E-2</v>
      </c>
      <c r="M475" s="13">
        <v>50</v>
      </c>
      <c r="N475" s="9">
        <v>0.26</v>
      </c>
    </row>
    <row r="476" spans="1:17" x14ac:dyDescent="0.3">
      <c r="A476" s="1">
        <v>475</v>
      </c>
      <c r="B476">
        <v>40</v>
      </c>
      <c r="C476">
        <v>371.37735635249885</v>
      </c>
      <c r="D476">
        <v>9</v>
      </c>
      <c r="E476">
        <v>600</v>
      </c>
      <c r="F476">
        <v>400</v>
      </c>
      <c r="G476">
        <v>332</v>
      </c>
      <c r="H476" s="3">
        <v>55.555555555555557</v>
      </c>
      <c r="I476">
        <v>20</v>
      </c>
      <c r="J476" s="101">
        <f t="shared" si="26"/>
        <v>2826</v>
      </c>
      <c r="K476">
        <f t="shared" si="27"/>
        <v>16.623529411764707</v>
      </c>
      <c r="L476">
        <f t="shared" si="29"/>
        <v>1.1775000000000001E-2</v>
      </c>
      <c r="M476" s="13">
        <v>50</v>
      </c>
      <c r="N476" s="9">
        <v>0.34</v>
      </c>
    </row>
    <row r="477" spans="1:17" x14ac:dyDescent="0.3">
      <c r="A477" s="1">
        <v>476</v>
      </c>
      <c r="B477" s="102">
        <v>18.899999999999999</v>
      </c>
      <c r="C477" s="102">
        <v>305</v>
      </c>
      <c r="D477" s="102">
        <v>4</v>
      </c>
      <c r="E477" s="102">
        <v>350</v>
      </c>
      <c r="F477" s="102">
        <v>450</v>
      </c>
      <c r="G477" s="102">
        <v>405.5</v>
      </c>
      <c r="H477" s="102">
        <v>71.5</v>
      </c>
      <c r="I477" s="102">
        <v>25</v>
      </c>
      <c r="J477" s="101">
        <f t="shared" si="26"/>
        <v>1962.5</v>
      </c>
      <c r="K477">
        <f t="shared" si="27"/>
        <v>17.640449438202246</v>
      </c>
      <c r="L477">
        <f t="shared" si="29"/>
        <v>1.246031746031746E-2</v>
      </c>
      <c r="M477" s="102">
        <v>32</v>
      </c>
      <c r="N477" s="102">
        <v>0.23</v>
      </c>
      <c r="O477" s="3" t="s">
        <v>36</v>
      </c>
    </row>
    <row r="478" spans="1:17" x14ac:dyDescent="0.3">
      <c r="A478" s="1">
        <v>477</v>
      </c>
      <c r="B478" s="102">
        <v>18.899999999999999</v>
      </c>
      <c r="C478" s="102">
        <v>243</v>
      </c>
      <c r="D478" s="102">
        <v>4</v>
      </c>
      <c r="E478" s="102">
        <v>350</v>
      </c>
      <c r="F478" s="102">
        <v>450</v>
      </c>
      <c r="G478" s="102">
        <v>412</v>
      </c>
      <c r="H478" s="102">
        <v>71.5</v>
      </c>
      <c r="I478" s="102">
        <v>12</v>
      </c>
      <c r="J478" s="101">
        <f t="shared" si="26"/>
        <v>452.15999999999997</v>
      </c>
      <c r="K478">
        <f t="shared" si="27"/>
        <v>4.7595789473684205</v>
      </c>
      <c r="L478">
        <f t="shared" si="29"/>
        <v>2.8708571428571424E-3</v>
      </c>
      <c r="M478" s="102">
        <v>32</v>
      </c>
      <c r="N478" s="102">
        <v>0.24</v>
      </c>
    </row>
    <row r="479" spans="1:17" x14ac:dyDescent="0.3">
      <c r="A479" s="1">
        <v>478</v>
      </c>
      <c r="B479" s="102">
        <v>18.899999999999999</v>
      </c>
      <c r="C479" s="102">
        <v>273</v>
      </c>
      <c r="D479" s="102">
        <v>4</v>
      </c>
      <c r="E479" s="102">
        <v>350</v>
      </c>
      <c r="F479" s="102">
        <v>450</v>
      </c>
      <c r="G479" s="102">
        <v>355.5</v>
      </c>
      <c r="H479" s="102">
        <v>46.5</v>
      </c>
      <c r="I479" s="102">
        <v>25</v>
      </c>
      <c r="J479" s="101">
        <f t="shared" si="26"/>
        <v>1962.5</v>
      </c>
      <c r="K479">
        <f t="shared" si="27"/>
        <v>8.306878306878307</v>
      </c>
      <c r="L479">
        <f t="shared" si="29"/>
        <v>1.246031746031746E-2</v>
      </c>
      <c r="M479" s="102">
        <v>82</v>
      </c>
      <c r="N479" s="102">
        <v>0.48</v>
      </c>
    </row>
    <row r="480" spans="1:17" x14ac:dyDescent="0.3">
      <c r="A480" s="1">
        <v>479</v>
      </c>
      <c r="B480" s="102">
        <v>18.899999999999999</v>
      </c>
      <c r="C480" s="102">
        <v>376</v>
      </c>
      <c r="D480" s="102">
        <v>4</v>
      </c>
      <c r="E480" s="102">
        <v>350</v>
      </c>
      <c r="F480" s="102">
        <v>450</v>
      </c>
      <c r="G480" s="102">
        <v>362</v>
      </c>
      <c r="H480" s="102">
        <v>46.5</v>
      </c>
      <c r="I480" s="102">
        <v>12</v>
      </c>
      <c r="J480" s="101">
        <f t="shared" si="26"/>
        <v>452.15999999999997</v>
      </c>
      <c r="K480">
        <f t="shared" si="27"/>
        <v>2.0552727272727269</v>
      </c>
      <c r="L480">
        <f t="shared" si="29"/>
        <v>2.8708571428571424E-3</v>
      </c>
      <c r="M480" s="102">
        <v>82</v>
      </c>
      <c r="N480" s="102">
        <v>0.49</v>
      </c>
    </row>
    <row r="481" spans="1:15" x14ac:dyDescent="0.3">
      <c r="A481" s="1">
        <v>480</v>
      </c>
      <c r="B481" s="102">
        <v>26.9</v>
      </c>
      <c r="C481" s="102">
        <v>291</v>
      </c>
      <c r="D481" s="102">
        <v>4</v>
      </c>
      <c r="E481" s="102">
        <v>350</v>
      </c>
      <c r="F481" s="102">
        <v>450</v>
      </c>
      <c r="G481" s="102">
        <v>410</v>
      </c>
      <c r="H481" s="102">
        <v>71.5</v>
      </c>
      <c r="I481" s="102">
        <v>16</v>
      </c>
      <c r="J481" s="101">
        <f t="shared" si="26"/>
        <v>803.84</v>
      </c>
      <c r="K481">
        <f t="shared" si="27"/>
        <v>8.0384000000000011</v>
      </c>
      <c r="L481">
        <f t="shared" si="29"/>
        <v>5.1037460317460322E-3</v>
      </c>
      <c r="M481" s="102">
        <v>32</v>
      </c>
      <c r="N481" s="102">
        <v>0.18</v>
      </c>
    </row>
    <row r="482" spans="1:15" x14ac:dyDescent="0.3">
      <c r="A482" s="1">
        <v>481</v>
      </c>
      <c r="B482" s="102">
        <v>23.5</v>
      </c>
      <c r="C482" s="102">
        <v>303</v>
      </c>
      <c r="D482" s="102">
        <v>4</v>
      </c>
      <c r="E482" s="102">
        <v>350</v>
      </c>
      <c r="F482" s="102">
        <v>450</v>
      </c>
      <c r="G482" s="102">
        <v>360</v>
      </c>
      <c r="H482" s="102">
        <v>46.5</v>
      </c>
      <c r="I482" s="102">
        <v>16</v>
      </c>
      <c r="J482" s="101">
        <f t="shared" si="26"/>
        <v>803.84</v>
      </c>
      <c r="K482">
        <f t="shared" si="27"/>
        <v>3.5726222222222224</v>
      </c>
      <c r="L482">
        <f t="shared" si="29"/>
        <v>5.1037460317460322E-3</v>
      </c>
      <c r="M482" s="102">
        <v>82</v>
      </c>
      <c r="N482" s="102">
        <v>0.32</v>
      </c>
    </row>
    <row r="483" spans="1:15" x14ac:dyDescent="0.3">
      <c r="A483" s="1">
        <v>482</v>
      </c>
      <c r="B483" s="103">
        <v>9.8000000000000007</v>
      </c>
      <c r="C483" s="55">
        <v>250</v>
      </c>
      <c r="D483" s="103">
        <v>6</v>
      </c>
      <c r="E483" s="103">
        <v>300</v>
      </c>
      <c r="F483" s="103">
        <v>600</v>
      </c>
      <c r="G483" s="104">
        <v>524</v>
      </c>
      <c r="H483" s="3">
        <v>35.666666666666664</v>
      </c>
      <c r="I483" s="103">
        <v>28</v>
      </c>
      <c r="J483" s="101">
        <f t="shared" si="26"/>
        <v>3692.64</v>
      </c>
      <c r="K483">
        <f t="shared" si="27"/>
        <v>19.434947368421053</v>
      </c>
      <c r="L483">
        <f t="shared" si="29"/>
        <v>2.0514666666666667E-2</v>
      </c>
      <c r="M483" s="103">
        <v>43</v>
      </c>
      <c r="N483" s="55">
        <v>0.12</v>
      </c>
      <c r="O483" s="3" t="s">
        <v>37</v>
      </c>
    </row>
    <row r="484" spans="1:15" x14ac:dyDescent="0.3">
      <c r="A484" s="1">
        <v>483</v>
      </c>
      <c r="B484" s="103">
        <v>21.8</v>
      </c>
      <c r="C484" s="55">
        <v>250</v>
      </c>
      <c r="D484" s="103">
        <v>10</v>
      </c>
      <c r="E484" s="103">
        <v>1000</v>
      </c>
      <c r="F484" s="103">
        <v>240</v>
      </c>
      <c r="G484" s="104">
        <v>204</v>
      </c>
      <c r="H484" s="3">
        <v>95</v>
      </c>
      <c r="I484" s="103">
        <v>22</v>
      </c>
      <c r="J484" s="101">
        <f t="shared" si="26"/>
        <v>3799.4000000000005</v>
      </c>
      <c r="K484">
        <f t="shared" si="27"/>
        <v>42.215555555555561</v>
      </c>
      <c r="L484">
        <f t="shared" si="29"/>
        <v>1.5830833333333336E-2</v>
      </c>
      <c r="M484" s="103">
        <v>25</v>
      </c>
      <c r="N484" s="55">
        <v>0.08</v>
      </c>
    </row>
    <row r="485" spans="1:15" x14ac:dyDescent="0.3">
      <c r="A485" s="1">
        <v>484</v>
      </c>
      <c r="B485" s="103">
        <v>6.6999999999999993</v>
      </c>
      <c r="C485" s="55">
        <v>250</v>
      </c>
      <c r="D485" s="103">
        <v>10</v>
      </c>
      <c r="E485" s="103">
        <v>1000</v>
      </c>
      <c r="F485" s="103">
        <v>240</v>
      </c>
      <c r="G485" s="104">
        <v>214</v>
      </c>
      <c r="H485" s="3">
        <v>96.4</v>
      </c>
      <c r="I485" s="103">
        <v>16</v>
      </c>
      <c r="J485" s="101">
        <f t="shared" si="26"/>
        <v>2009.6000000000001</v>
      </c>
      <c r="K485">
        <f t="shared" si="27"/>
        <v>30.91692307692308</v>
      </c>
      <c r="L485">
        <f t="shared" si="29"/>
        <v>8.3733333333333333E-3</v>
      </c>
      <c r="M485" s="103">
        <v>18</v>
      </c>
      <c r="N485" s="55">
        <v>7.0000000000000007E-2</v>
      </c>
    </row>
    <row r="486" spans="1:15" x14ac:dyDescent="0.3">
      <c r="A486" s="1">
        <v>485</v>
      </c>
      <c r="B486" s="103">
        <v>18.899999999999999</v>
      </c>
      <c r="C486" s="55">
        <v>300</v>
      </c>
      <c r="D486" s="103">
        <v>4</v>
      </c>
      <c r="E486" s="103">
        <v>300</v>
      </c>
      <c r="F486" s="103">
        <v>600</v>
      </c>
      <c r="G486" s="104">
        <v>55.4</v>
      </c>
      <c r="H486" s="3">
        <v>57.5</v>
      </c>
      <c r="I486" s="103">
        <v>22</v>
      </c>
      <c r="J486" s="101">
        <f t="shared" si="26"/>
        <v>1519.76</v>
      </c>
      <c r="K486">
        <f t="shared" si="27"/>
        <v>1.1162394417921411</v>
      </c>
      <c r="L486">
        <f t="shared" si="29"/>
        <v>8.4431111111111113E-3</v>
      </c>
      <c r="M486" s="103">
        <v>35</v>
      </c>
      <c r="N486" s="55">
        <v>0.13</v>
      </c>
    </row>
    <row r="487" spans="1:15" x14ac:dyDescent="0.3">
      <c r="A487" s="1">
        <v>486</v>
      </c>
      <c r="B487" s="103">
        <v>14.3</v>
      </c>
      <c r="C487" s="55">
        <v>250</v>
      </c>
      <c r="D487" s="103">
        <v>4</v>
      </c>
      <c r="E487" s="103">
        <v>300</v>
      </c>
      <c r="F487" s="103">
        <v>400</v>
      </c>
      <c r="G487" s="104">
        <v>359</v>
      </c>
      <c r="H487" s="3">
        <v>58.5</v>
      </c>
      <c r="I487" s="103">
        <v>16</v>
      </c>
      <c r="J487" s="101">
        <f t="shared" si="26"/>
        <v>803.84</v>
      </c>
      <c r="K487">
        <f t="shared" si="27"/>
        <v>7.8423414634146349</v>
      </c>
      <c r="L487">
        <f t="shared" si="29"/>
        <v>6.698666666666667E-3</v>
      </c>
      <c r="M487" s="103">
        <v>33</v>
      </c>
      <c r="N487" s="55">
        <v>0.1</v>
      </c>
    </row>
    <row r="488" spans="1:15" x14ac:dyDescent="0.3">
      <c r="A488" s="1">
        <v>487</v>
      </c>
      <c r="B488" s="103">
        <v>17.100000000000001</v>
      </c>
      <c r="C488" s="55">
        <v>250</v>
      </c>
      <c r="D488" s="103">
        <v>4</v>
      </c>
      <c r="E488" s="103">
        <v>300</v>
      </c>
      <c r="F488" s="103">
        <v>600</v>
      </c>
      <c r="G488" s="104">
        <v>544</v>
      </c>
      <c r="H488" s="3">
        <v>52.5</v>
      </c>
      <c r="I488" s="103">
        <v>22</v>
      </c>
      <c r="J488" s="101">
        <f t="shared" si="26"/>
        <v>1519.76</v>
      </c>
      <c r="K488">
        <f t="shared" si="27"/>
        <v>10.855428571428572</v>
      </c>
      <c r="L488">
        <f t="shared" si="29"/>
        <v>8.4431111111111113E-3</v>
      </c>
      <c r="M488" s="103">
        <v>45</v>
      </c>
      <c r="N488" s="55">
        <v>0.13</v>
      </c>
    </row>
    <row r="489" spans="1:15" x14ac:dyDescent="0.3">
      <c r="A489" s="1">
        <v>488</v>
      </c>
      <c r="B489" s="102">
        <v>21.7</v>
      </c>
      <c r="C489" s="102">
        <v>207</v>
      </c>
      <c r="D489" s="102">
        <v>2</v>
      </c>
      <c r="E489" s="102">
        <v>228</v>
      </c>
      <c r="F489" s="102">
        <v>152</v>
      </c>
      <c r="G489" s="102">
        <v>131</v>
      </c>
      <c r="H489" s="102">
        <v>65</v>
      </c>
      <c r="I489" s="102">
        <v>16</v>
      </c>
      <c r="J489" s="101">
        <f t="shared" si="26"/>
        <v>401.92</v>
      </c>
      <c r="K489">
        <f t="shared" si="27"/>
        <v>7.655619047619048</v>
      </c>
      <c r="L489">
        <f t="shared" si="29"/>
        <v>1.159741458910434E-2</v>
      </c>
      <c r="M489" s="3">
        <v>49</v>
      </c>
      <c r="N489" s="3">
        <v>0.08</v>
      </c>
      <c r="O489" s="3" t="s">
        <v>38</v>
      </c>
    </row>
    <row r="490" spans="1:15" x14ac:dyDescent="0.3">
      <c r="A490" s="1">
        <v>489</v>
      </c>
      <c r="B490" s="102">
        <v>20.100000000000001</v>
      </c>
      <c r="C490" s="102">
        <v>276</v>
      </c>
      <c r="D490" s="102">
        <v>2</v>
      </c>
      <c r="E490" s="102">
        <v>152</v>
      </c>
      <c r="F490" s="102">
        <v>381</v>
      </c>
      <c r="G490" s="102">
        <v>344</v>
      </c>
      <c r="H490" s="102">
        <v>51</v>
      </c>
      <c r="I490" s="102">
        <v>29</v>
      </c>
      <c r="J490" s="101">
        <f t="shared" si="26"/>
        <v>1320.3700000000001</v>
      </c>
      <c r="K490">
        <f t="shared" si="27"/>
        <v>14.274270270270272</v>
      </c>
      <c r="L490">
        <f t="shared" si="29"/>
        <v>2.2799592485149886E-2</v>
      </c>
      <c r="M490" s="3">
        <v>25</v>
      </c>
      <c r="N490" s="3">
        <v>0.11</v>
      </c>
    </row>
    <row r="491" spans="1:15" x14ac:dyDescent="0.3">
      <c r="A491" s="1">
        <v>490</v>
      </c>
      <c r="B491" s="102">
        <v>19.2</v>
      </c>
      <c r="C491" s="102">
        <v>207</v>
      </c>
      <c r="D491" s="102">
        <v>2</v>
      </c>
      <c r="E491" s="102">
        <v>152</v>
      </c>
      <c r="F491" s="102">
        <v>381</v>
      </c>
      <c r="G491" s="102">
        <v>328</v>
      </c>
      <c r="H491" s="102">
        <v>51</v>
      </c>
      <c r="I491" s="102">
        <v>29</v>
      </c>
      <c r="J491" s="101">
        <f t="shared" si="26"/>
        <v>1320.3700000000001</v>
      </c>
      <c r="K491">
        <f t="shared" si="27"/>
        <v>9.9650566037735864</v>
      </c>
      <c r="L491">
        <f t="shared" si="29"/>
        <v>2.2799592485149886E-2</v>
      </c>
      <c r="M491" s="3">
        <v>25</v>
      </c>
      <c r="N491" s="3">
        <v>0.09</v>
      </c>
    </row>
    <row r="492" spans="1:15" x14ac:dyDescent="0.3">
      <c r="A492" s="1">
        <v>491</v>
      </c>
      <c r="B492" s="102">
        <v>18.8</v>
      </c>
      <c r="C492" s="102">
        <v>138</v>
      </c>
      <c r="D492" s="102">
        <v>2</v>
      </c>
      <c r="E492" s="102">
        <v>152</v>
      </c>
      <c r="F492" s="102">
        <v>381</v>
      </c>
      <c r="G492" s="102">
        <v>357</v>
      </c>
      <c r="H492" s="102">
        <v>51</v>
      </c>
      <c r="I492" s="102">
        <v>22</v>
      </c>
      <c r="J492" s="101">
        <f t="shared" si="26"/>
        <v>759.88</v>
      </c>
      <c r="K492">
        <f t="shared" si="27"/>
        <v>12.664666666666667</v>
      </c>
      <c r="L492">
        <f t="shared" si="29"/>
        <v>1.3121287470645117E-2</v>
      </c>
      <c r="M492" s="3">
        <v>25</v>
      </c>
      <c r="N492" s="3">
        <v>0.05</v>
      </c>
    </row>
    <row r="493" spans="1:15" x14ac:dyDescent="0.3">
      <c r="A493" s="1">
        <v>492</v>
      </c>
      <c r="B493" s="102">
        <v>17.7</v>
      </c>
      <c r="C493" s="102">
        <v>276</v>
      </c>
      <c r="D493" s="102">
        <v>2</v>
      </c>
      <c r="E493" s="102">
        <v>190</v>
      </c>
      <c r="F493" s="102">
        <v>152</v>
      </c>
      <c r="G493" s="102">
        <v>134</v>
      </c>
      <c r="H493" s="102">
        <v>68</v>
      </c>
      <c r="I493" s="102">
        <v>10</v>
      </c>
      <c r="J493" s="101">
        <f t="shared" si="26"/>
        <v>157</v>
      </c>
      <c r="K493">
        <f t="shared" si="27"/>
        <v>3.4888888888888889</v>
      </c>
      <c r="L493">
        <f t="shared" si="29"/>
        <v>5.4362880886426592E-3</v>
      </c>
      <c r="M493" s="3">
        <v>27</v>
      </c>
      <c r="N493" s="3">
        <v>0.09</v>
      </c>
    </row>
    <row r="494" spans="1:15" x14ac:dyDescent="0.3">
      <c r="A494" s="1">
        <v>493</v>
      </c>
      <c r="B494" s="102">
        <v>19.899999999999999</v>
      </c>
      <c r="C494" s="102">
        <v>138</v>
      </c>
      <c r="D494" s="102">
        <v>2</v>
      </c>
      <c r="E494" s="102">
        <v>152</v>
      </c>
      <c r="F494" s="102">
        <v>584</v>
      </c>
      <c r="G494" s="102">
        <v>528</v>
      </c>
      <c r="H494" s="102">
        <v>18</v>
      </c>
      <c r="I494" s="102">
        <v>35</v>
      </c>
      <c r="J494" s="101">
        <f t="shared" si="26"/>
        <v>1923.25</v>
      </c>
      <c r="K494">
        <f t="shared" si="27"/>
        <v>13.737500000000001</v>
      </c>
      <c r="L494">
        <f t="shared" si="29"/>
        <v>2.1666028298485941E-2</v>
      </c>
      <c r="M494" s="3">
        <v>58</v>
      </c>
      <c r="N494" s="3">
        <v>7.0000000000000007E-2</v>
      </c>
    </row>
    <row r="495" spans="1:15" x14ac:dyDescent="0.3">
      <c r="A495" s="1">
        <v>494</v>
      </c>
      <c r="B495" s="102">
        <v>16.5</v>
      </c>
      <c r="C495" s="102">
        <v>276</v>
      </c>
      <c r="D495" s="102">
        <v>2</v>
      </c>
      <c r="E495" s="102">
        <v>190</v>
      </c>
      <c r="F495" s="102">
        <v>152</v>
      </c>
      <c r="G495" s="102">
        <v>133</v>
      </c>
      <c r="H495" s="102">
        <v>54</v>
      </c>
      <c r="I495" s="102">
        <v>13</v>
      </c>
      <c r="J495" s="101">
        <f t="shared" si="26"/>
        <v>265.33</v>
      </c>
      <c r="K495">
        <f t="shared" si="27"/>
        <v>5.5858947368421052</v>
      </c>
      <c r="L495">
        <f t="shared" si="29"/>
        <v>9.1873268698060943E-3</v>
      </c>
      <c r="M495" s="3">
        <v>41</v>
      </c>
      <c r="N495" s="3">
        <v>0.14000000000000001</v>
      </c>
    </row>
    <row r="496" spans="1:15" x14ac:dyDescent="0.3">
      <c r="A496" s="1">
        <v>495</v>
      </c>
      <c r="B496" s="102">
        <v>15</v>
      </c>
      <c r="C496" s="102">
        <v>138</v>
      </c>
      <c r="D496" s="102">
        <v>2</v>
      </c>
      <c r="E496" s="102">
        <v>228</v>
      </c>
      <c r="F496" s="102">
        <v>152</v>
      </c>
      <c r="G496" s="102">
        <v>134</v>
      </c>
      <c r="H496" s="102">
        <v>81</v>
      </c>
      <c r="I496" s="102">
        <v>10</v>
      </c>
      <c r="J496" s="101">
        <f t="shared" si="26"/>
        <v>157</v>
      </c>
      <c r="K496">
        <f t="shared" si="27"/>
        <v>3.4888888888888889</v>
      </c>
      <c r="L496">
        <f t="shared" si="29"/>
        <v>4.5302400738688828E-3</v>
      </c>
      <c r="M496" s="3">
        <v>33</v>
      </c>
      <c r="N496" s="3">
        <v>0.04</v>
      </c>
    </row>
    <row r="497" spans="1:15" x14ac:dyDescent="0.3">
      <c r="A497" s="1">
        <v>496</v>
      </c>
      <c r="B497" s="102">
        <v>16.600000000000001</v>
      </c>
      <c r="C497" s="102">
        <v>138</v>
      </c>
      <c r="D497" s="102">
        <v>2</v>
      </c>
      <c r="E497" s="102">
        <v>152</v>
      </c>
      <c r="F497" s="102">
        <v>584</v>
      </c>
      <c r="G497" s="102">
        <v>531</v>
      </c>
      <c r="H497" s="102">
        <v>51</v>
      </c>
      <c r="I497" s="102">
        <v>29</v>
      </c>
      <c r="J497" s="101">
        <f t="shared" si="26"/>
        <v>1320.3700000000001</v>
      </c>
      <c r="K497">
        <f t="shared" si="27"/>
        <v>9.9650566037735864</v>
      </c>
      <c r="L497">
        <f t="shared" si="29"/>
        <v>1.4874391672674838E-2</v>
      </c>
      <c r="M497" s="3">
        <v>25</v>
      </c>
      <c r="N497" s="3">
        <v>7.0000000000000007E-2</v>
      </c>
    </row>
    <row r="498" spans="1:15" x14ac:dyDescent="0.3">
      <c r="A498" s="1">
        <v>497</v>
      </c>
      <c r="B498" s="102">
        <v>21.2</v>
      </c>
      <c r="C498" s="102">
        <v>207</v>
      </c>
      <c r="D498" s="102">
        <v>2</v>
      </c>
      <c r="E498" s="102">
        <v>152</v>
      </c>
      <c r="F498" s="102">
        <v>381</v>
      </c>
      <c r="G498" s="102">
        <v>339</v>
      </c>
      <c r="H498" s="102">
        <v>51</v>
      </c>
      <c r="I498" s="102">
        <v>19</v>
      </c>
      <c r="J498" s="101">
        <f t="shared" si="26"/>
        <v>566.77</v>
      </c>
      <c r="K498">
        <f t="shared" si="27"/>
        <v>5.3978095238095234</v>
      </c>
      <c r="L498">
        <f t="shared" si="29"/>
        <v>9.7867454068241468E-3</v>
      </c>
      <c r="M498" s="3">
        <v>25</v>
      </c>
      <c r="N498" s="3">
        <v>0.08</v>
      </c>
    </row>
    <row r="499" spans="1:15" x14ac:dyDescent="0.3">
      <c r="A499" s="1">
        <v>498</v>
      </c>
      <c r="B499" s="102">
        <v>16.600000000000001</v>
      </c>
      <c r="C499" s="102">
        <v>138</v>
      </c>
      <c r="D499" s="102">
        <v>2</v>
      </c>
      <c r="E499" s="102">
        <v>152</v>
      </c>
      <c r="F499" s="102">
        <v>381</v>
      </c>
      <c r="G499" s="102">
        <v>3.26</v>
      </c>
      <c r="H499" s="102">
        <v>16</v>
      </c>
      <c r="I499" s="102">
        <v>32</v>
      </c>
      <c r="J499" s="101">
        <f t="shared" ref="J499:J509" si="30">D499*(3.14/4)*I499*I499</f>
        <v>1607.68</v>
      </c>
      <c r="K499">
        <f t="shared" si="27"/>
        <v>1.7024196537300789</v>
      </c>
      <c r="L499">
        <f t="shared" si="29"/>
        <v>2.7760740433761571E-2</v>
      </c>
      <c r="M499" s="3">
        <v>60</v>
      </c>
      <c r="N499" s="3">
        <v>0.11</v>
      </c>
    </row>
    <row r="500" spans="1:15" x14ac:dyDescent="0.3">
      <c r="A500" s="1">
        <v>499</v>
      </c>
      <c r="B500" s="102">
        <v>19.100000000000001</v>
      </c>
      <c r="C500" s="102">
        <v>138</v>
      </c>
      <c r="D500" s="102">
        <v>2</v>
      </c>
      <c r="E500" s="102">
        <v>152</v>
      </c>
      <c r="F500" s="102">
        <v>584</v>
      </c>
      <c r="G500" s="102">
        <v>515</v>
      </c>
      <c r="H500" s="102">
        <v>18</v>
      </c>
      <c r="I500" s="102">
        <v>35</v>
      </c>
      <c r="J500" s="101">
        <f t="shared" si="30"/>
        <v>1923.25</v>
      </c>
      <c r="K500">
        <f t="shared" si="27"/>
        <v>11.149275362318841</v>
      </c>
      <c r="L500">
        <f t="shared" si="29"/>
        <v>2.1666028298485941E-2</v>
      </c>
      <c r="M500" s="3">
        <v>58</v>
      </c>
      <c r="N500" s="3">
        <v>0.11</v>
      </c>
    </row>
    <row r="501" spans="1:15" x14ac:dyDescent="0.3">
      <c r="A501" s="1">
        <v>500</v>
      </c>
      <c r="B501" s="102">
        <v>19.3</v>
      </c>
      <c r="C501" s="102">
        <v>138</v>
      </c>
      <c r="D501" s="102">
        <v>2</v>
      </c>
      <c r="E501" s="102">
        <v>152</v>
      </c>
      <c r="F501" s="102">
        <v>584</v>
      </c>
      <c r="G501" s="102">
        <v>5.29</v>
      </c>
      <c r="H501" s="102">
        <v>16</v>
      </c>
      <c r="I501" s="102">
        <v>32</v>
      </c>
      <c r="J501" s="101">
        <f t="shared" si="30"/>
        <v>1607.68</v>
      </c>
      <c r="K501">
        <f t="shared" ref="K501" si="31">J501/(2.5*(F501-G501))</f>
        <v>1.1112163259663734</v>
      </c>
      <c r="L501">
        <f t="shared" si="29"/>
        <v>1.8111031002162943E-2</v>
      </c>
      <c r="M501" s="3">
        <v>60</v>
      </c>
      <c r="N501" s="3">
        <v>0.09</v>
      </c>
    </row>
    <row r="502" spans="1:15" x14ac:dyDescent="0.3">
      <c r="A502" s="1">
        <v>501</v>
      </c>
      <c r="B502" s="102">
        <v>22.8</v>
      </c>
      <c r="C502" s="102">
        <v>276</v>
      </c>
      <c r="D502" s="102">
        <v>8</v>
      </c>
      <c r="E502" s="102">
        <v>203</v>
      </c>
      <c r="F502" s="102">
        <v>406</v>
      </c>
      <c r="G502" s="102">
        <v>340</v>
      </c>
      <c r="H502" s="3">
        <v>16.875</v>
      </c>
      <c r="I502" s="102">
        <v>19</v>
      </c>
      <c r="J502" s="101">
        <f t="shared" si="30"/>
        <v>2267.08</v>
      </c>
      <c r="K502">
        <f t="shared" si="27"/>
        <v>13.739878787878787</v>
      </c>
      <c r="L502">
        <f t="shared" si="29"/>
        <v>2.750709796403698E-2</v>
      </c>
      <c r="M502" s="102">
        <v>34</v>
      </c>
      <c r="N502" s="3">
        <v>0.15</v>
      </c>
      <c r="O502" s="3" t="s">
        <v>21</v>
      </c>
    </row>
    <row r="503" spans="1:15" x14ac:dyDescent="0.3">
      <c r="A503" s="1">
        <v>502</v>
      </c>
      <c r="B503" s="102">
        <v>22.6</v>
      </c>
      <c r="C503" s="102">
        <v>138</v>
      </c>
      <c r="D503" s="102">
        <v>6</v>
      </c>
      <c r="E503" s="102">
        <v>152</v>
      </c>
      <c r="F503" s="102">
        <v>406</v>
      </c>
      <c r="G503" s="102">
        <v>345</v>
      </c>
      <c r="H503" s="3">
        <v>19</v>
      </c>
      <c r="I503" s="102">
        <v>13</v>
      </c>
      <c r="J503" s="101">
        <f t="shared" si="30"/>
        <v>795.99</v>
      </c>
      <c r="K503">
        <f t="shared" ref="K503:K509" si="32">J503/(2.5*(F503-G503))</f>
        <v>5.2196065573770491</v>
      </c>
      <c r="L503">
        <f t="shared" si="29"/>
        <v>1.2898463831993778E-2</v>
      </c>
      <c r="M503" s="102">
        <v>19</v>
      </c>
      <c r="N503" s="3">
        <v>0.06</v>
      </c>
    </row>
    <row r="504" spans="1:15" x14ac:dyDescent="0.3">
      <c r="A504" s="1">
        <v>503</v>
      </c>
      <c r="B504" s="102">
        <v>24.6</v>
      </c>
      <c r="C504" s="102">
        <v>138</v>
      </c>
      <c r="D504" s="102">
        <v>12</v>
      </c>
      <c r="E504" s="102">
        <v>304</v>
      </c>
      <c r="F504" s="102">
        <v>406</v>
      </c>
      <c r="G504" s="102">
        <v>345</v>
      </c>
      <c r="H504" s="3">
        <v>22.166666666666668</v>
      </c>
      <c r="I504" s="102">
        <v>13</v>
      </c>
      <c r="J504" s="101">
        <f t="shared" si="30"/>
        <v>1591.98</v>
      </c>
      <c r="K504">
        <f t="shared" si="32"/>
        <v>10.439213114754098</v>
      </c>
      <c r="L504">
        <f t="shared" si="29"/>
        <v>1.2898463831993778E-2</v>
      </c>
      <c r="M504" s="102">
        <v>19</v>
      </c>
      <c r="N504" s="3">
        <v>0.06</v>
      </c>
    </row>
    <row r="505" spans="1:15" x14ac:dyDescent="0.3">
      <c r="A505" s="1">
        <v>504</v>
      </c>
      <c r="B505" s="102">
        <v>32.5</v>
      </c>
      <c r="C505" s="102">
        <v>207</v>
      </c>
      <c r="D505" s="102">
        <v>4</v>
      </c>
      <c r="E505" s="102">
        <v>101</v>
      </c>
      <c r="F505" s="102">
        <v>406</v>
      </c>
      <c r="G505" s="102">
        <v>345</v>
      </c>
      <c r="H505" s="3">
        <v>15.75</v>
      </c>
      <c r="I505" s="102">
        <v>13</v>
      </c>
      <c r="J505" s="101">
        <f t="shared" si="30"/>
        <v>530.66</v>
      </c>
      <c r="K505">
        <f t="shared" si="32"/>
        <v>3.4797377049180325</v>
      </c>
      <c r="L505">
        <f t="shared" si="29"/>
        <v>1.2941033019558113E-2</v>
      </c>
      <c r="M505" s="102">
        <v>19</v>
      </c>
      <c r="N505" s="3">
        <v>7.0000000000000007E-2</v>
      </c>
    </row>
    <row r="506" spans="1:15" x14ac:dyDescent="0.3">
      <c r="A506" s="1">
        <v>505</v>
      </c>
      <c r="B506" s="102">
        <v>40.799999999999997</v>
      </c>
      <c r="C506" s="102">
        <v>138</v>
      </c>
      <c r="D506" s="102">
        <v>8</v>
      </c>
      <c r="E506" s="102">
        <v>203</v>
      </c>
      <c r="F506" s="102">
        <v>406</v>
      </c>
      <c r="G506" s="102">
        <v>345</v>
      </c>
      <c r="H506" s="3">
        <v>16.875</v>
      </c>
      <c r="I506" s="102">
        <v>13</v>
      </c>
      <c r="J506" s="101">
        <f t="shared" si="30"/>
        <v>1061.32</v>
      </c>
      <c r="K506">
        <f t="shared" si="32"/>
        <v>6.9594754098360649</v>
      </c>
      <c r="L506">
        <f t="shared" si="29"/>
        <v>1.2877284088427284E-2</v>
      </c>
      <c r="M506" s="102">
        <v>34</v>
      </c>
      <c r="N506" s="3">
        <v>0.05</v>
      </c>
    </row>
    <row r="507" spans="1:15" x14ac:dyDescent="0.3">
      <c r="A507" s="1">
        <v>506</v>
      </c>
      <c r="B507" s="102">
        <v>21.8</v>
      </c>
      <c r="C507" s="102">
        <v>138</v>
      </c>
      <c r="D507" s="102">
        <v>6</v>
      </c>
      <c r="E507" s="102">
        <v>203</v>
      </c>
      <c r="F507" s="102">
        <v>609</v>
      </c>
      <c r="G507" s="102">
        <v>543</v>
      </c>
      <c r="H507" s="3">
        <v>22.5</v>
      </c>
      <c r="I507" s="102">
        <v>19</v>
      </c>
      <c r="J507" s="101">
        <f t="shared" si="30"/>
        <v>1700.31</v>
      </c>
      <c r="K507">
        <f t="shared" si="32"/>
        <v>10.30490909090909</v>
      </c>
      <c r="L507">
        <f t="shared" si="29"/>
        <v>1.375354898201849E-2</v>
      </c>
      <c r="M507" s="102">
        <v>34</v>
      </c>
      <c r="N507" s="3">
        <v>0.06</v>
      </c>
    </row>
    <row r="508" spans="1:15" x14ac:dyDescent="0.3">
      <c r="A508" s="1">
        <v>507</v>
      </c>
      <c r="B508" s="102">
        <v>22.8</v>
      </c>
      <c r="C508" s="102">
        <v>138</v>
      </c>
      <c r="D508" s="102">
        <v>4</v>
      </c>
      <c r="E508" s="102">
        <v>203</v>
      </c>
      <c r="F508" s="102">
        <v>406</v>
      </c>
      <c r="G508" s="102">
        <v>360</v>
      </c>
      <c r="H508" s="3">
        <v>33.75</v>
      </c>
      <c r="I508" s="102">
        <v>19</v>
      </c>
      <c r="J508" s="101">
        <f t="shared" si="30"/>
        <v>1133.54</v>
      </c>
      <c r="K508">
        <f t="shared" si="32"/>
        <v>9.8568695652173908</v>
      </c>
      <c r="L508">
        <f t="shared" si="29"/>
        <v>1.375354898201849E-2</v>
      </c>
      <c r="M508" s="102">
        <v>34</v>
      </c>
      <c r="N508" s="3">
        <v>0.06</v>
      </c>
    </row>
    <row r="509" spans="1:15" x14ac:dyDescent="0.3">
      <c r="A509" s="1">
        <v>508</v>
      </c>
      <c r="B509" s="102">
        <v>40.6</v>
      </c>
      <c r="C509" s="102">
        <v>138</v>
      </c>
      <c r="D509" s="102">
        <v>2</v>
      </c>
      <c r="E509" s="102">
        <v>203</v>
      </c>
      <c r="F509" s="102">
        <v>406</v>
      </c>
      <c r="G509" s="102">
        <v>358</v>
      </c>
      <c r="H509" s="3">
        <v>67.5</v>
      </c>
      <c r="I509" s="102">
        <v>25</v>
      </c>
      <c r="J509" s="101">
        <f t="shared" si="30"/>
        <v>981.25</v>
      </c>
      <c r="K509">
        <f t="shared" si="32"/>
        <v>8.1770833333333339</v>
      </c>
      <c r="L509">
        <f t="shared" si="29"/>
        <v>1.1905773010750079E-2</v>
      </c>
      <c r="M509" s="102">
        <v>34</v>
      </c>
      <c r="N509" s="3">
        <v>0.06</v>
      </c>
    </row>
  </sheetData>
  <mergeCells count="3">
    <mergeCell ref="O2:O162"/>
    <mergeCell ref="O163:O247"/>
    <mergeCell ref="O350:O360"/>
  </mergeCells>
  <conditionalFormatting sqref="H1:H1048576">
    <cfRule type="cellIs" dxfId="4" priority="2" operator="lessThan">
      <formula>0</formula>
    </cfRule>
  </conditionalFormatting>
  <conditionalFormatting sqref="K1:L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C8A2-A627-47E0-A070-1200E06C9CF5}">
  <dimension ref="A1:T421"/>
  <sheetViews>
    <sheetView zoomScale="67" workbookViewId="0">
      <selection activeCell="P199" sqref="P199"/>
    </sheetView>
  </sheetViews>
  <sheetFormatPr defaultRowHeight="14.4" x14ac:dyDescent="0.3"/>
  <cols>
    <col min="1" max="1" width="8.88671875" style="109"/>
    <col min="3" max="3" width="8.88671875" style="109"/>
    <col min="5" max="5" width="8.88671875" style="109"/>
    <col min="7" max="8" width="8.88671875" style="109"/>
    <col min="10" max="10" width="8.88671875" style="109"/>
    <col min="13" max="13" width="11.6640625" style="107" customWidth="1"/>
  </cols>
  <sheetData>
    <row r="1" spans="1:20" s="78" customFormat="1" ht="21" x14ac:dyDescent="0.4">
      <c r="A1" s="73" t="s">
        <v>0</v>
      </c>
      <c r="B1" s="74" t="s">
        <v>1</v>
      </c>
      <c r="C1" s="74" t="s">
        <v>25</v>
      </c>
      <c r="D1" s="73" t="s">
        <v>2</v>
      </c>
      <c r="E1" s="74" t="s">
        <v>3</v>
      </c>
      <c r="F1" s="75" t="s">
        <v>6</v>
      </c>
      <c r="G1" s="75" t="s">
        <v>34</v>
      </c>
      <c r="H1" s="74" t="s">
        <v>24</v>
      </c>
      <c r="I1" s="76" t="s">
        <v>4</v>
      </c>
      <c r="J1" s="76" t="s">
        <v>33</v>
      </c>
      <c r="K1" s="78" t="s">
        <v>32</v>
      </c>
      <c r="L1" s="78" t="s">
        <v>45</v>
      </c>
      <c r="M1" s="74" t="s">
        <v>7</v>
      </c>
      <c r="N1" s="74" t="s">
        <v>8</v>
      </c>
      <c r="O1" s="77" t="s">
        <v>9</v>
      </c>
      <c r="Q1" s="74" t="s">
        <v>5</v>
      </c>
      <c r="R1" s="80"/>
      <c r="S1" s="81"/>
      <c r="T1" s="79"/>
    </row>
    <row r="2" spans="1:20" ht="15.6" x14ac:dyDescent="0.3">
      <c r="A2" s="105">
        <v>1</v>
      </c>
      <c r="B2" s="115">
        <v>21.869610000000002</v>
      </c>
      <c r="C2" s="116">
        <v>245</v>
      </c>
      <c r="D2" s="116">
        <v>2</v>
      </c>
      <c r="E2" s="116">
        <v>300</v>
      </c>
      <c r="F2" s="116">
        <v>400</v>
      </c>
      <c r="G2" s="106">
        <v>362</v>
      </c>
      <c r="H2" s="105">
        <v>117</v>
      </c>
      <c r="I2" s="116">
        <v>10</v>
      </c>
      <c r="J2" s="105">
        <f>D2*(3.14/4)*I2*I2</f>
        <v>157</v>
      </c>
      <c r="K2">
        <f>J2/(2.5*(F2-G2))</f>
        <v>1.6526315789473685</v>
      </c>
      <c r="L2">
        <f>J2/(E2*F2)</f>
        <v>1.3083333333333334E-3</v>
      </c>
      <c r="M2" s="116">
        <v>33</v>
      </c>
      <c r="N2" s="119">
        <v>0.2</v>
      </c>
      <c r="O2" t="s">
        <v>39</v>
      </c>
    </row>
    <row r="3" spans="1:20" ht="15.6" x14ac:dyDescent="0.3">
      <c r="A3" s="105">
        <v>2</v>
      </c>
      <c r="B3" s="115">
        <v>21.869610000000002</v>
      </c>
      <c r="C3" s="116">
        <v>295</v>
      </c>
      <c r="D3" s="116">
        <v>2</v>
      </c>
      <c r="E3" s="116">
        <v>300</v>
      </c>
      <c r="F3" s="116">
        <v>400</v>
      </c>
      <c r="G3" s="106">
        <v>362</v>
      </c>
      <c r="H3" s="105">
        <v>117</v>
      </c>
      <c r="I3" s="116">
        <v>10</v>
      </c>
      <c r="J3" s="105">
        <f t="shared" ref="J3:J66" si="0">D3*(3.14/4)*I3*I3</f>
        <v>157</v>
      </c>
      <c r="K3">
        <f t="shared" ref="K3:K66" si="1">J3/(2.5*(F3-G3))</f>
        <v>1.6526315789473685</v>
      </c>
      <c r="L3">
        <f t="shared" ref="L3:L66" si="2">J3/(E3*F3)</f>
        <v>1.3083333333333334E-3</v>
      </c>
      <c r="M3" s="116">
        <v>33</v>
      </c>
      <c r="N3" s="119">
        <v>0.26</v>
      </c>
    </row>
    <row r="4" spans="1:20" ht="15.6" x14ac:dyDescent="0.3">
      <c r="A4" s="105">
        <v>3</v>
      </c>
      <c r="B4" s="115">
        <v>21.869610000000002</v>
      </c>
      <c r="C4" s="116">
        <v>343</v>
      </c>
      <c r="D4" s="116">
        <v>2</v>
      </c>
      <c r="E4" s="116">
        <v>300</v>
      </c>
      <c r="F4" s="116">
        <v>400</v>
      </c>
      <c r="G4" s="106">
        <v>362</v>
      </c>
      <c r="H4" s="105">
        <v>117</v>
      </c>
      <c r="I4" s="116">
        <v>10</v>
      </c>
      <c r="J4" s="105">
        <f t="shared" si="0"/>
        <v>157</v>
      </c>
      <c r="K4">
        <f t="shared" si="1"/>
        <v>1.6526315789473685</v>
      </c>
      <c r="L4">
        <f t="shared" si="2"/>
        <v>1.3083333333333334E-3</v>
      </c>
      <c r="M4" s="116">
        <v>33</v>
      </c>
      <c r="N4" s="119">
        <v>0.31</v>
      </c>
    </row>
    <row r="5" spans="1:20" ht="15.6" x14ac:dyDescent="0.3">
      <c r="A5" s="105">
        <v>4</v>
      </c>
      <c r="B5" s="115">
        <v>21.869610000000002</v>
      </c>
      <c r="C5" s="116">
        <v>392</v>
      </c>
      <c r="D5" s="116">
        <v>2</v>
      </c>
      <c r="E5" s="116">
        <v>300</v>
      </c>
      <c r="F5" s="116">
        <v>400</v>
      </c>
      <c r="G5" s="106">
        <v>362</v>
      </c>
      <c r="H5" s="105">
        <v>117</v>
      </c>
      <c r="I5" s="116">
        <v>10</v>
      </c>
      <c r="J5" s="105">
        <f t="shared" si="0"/>
        <v>157</v>
      </c>
      <c r="K5">
        <f t="shared" si="1"/>
        <v>1.6526315789473685</v>
      </c>
      <c r="L5">
        <f t="shared" si="2"/>
        <v>1.3083333333333334E-3</v>
      </c>
      <c r="M5" s="116">
        <v>33</v>
      </c>
      <c r="N5" s="119">
        <v>0.4</v>
      </c>
    </row>
    <row r="6" spans="1:20" ht="15.6" x14ac:dyDescent="0.3">
      <c r="A6" s="105">
        <v>5</v>
      </c>
      <c r="B6" s="115">
        <v>21.771540000000002</v>
      </c>
      <c r="C6" s="116">
        <v>245</v>
      </c>
      <c r="D6" s="116">
        <v>2</v>
      </c>
      <c r="E6" s="116">
        <v>300</v>
      </c>
      <c r="F6" s="116">
        <v>400</v>
      </c>
      <c r="G6" s="106">
        <v>352</v>
      </c>
      <c r="H6" s="105">
        <v>107</v>
      </c>
      <c r="I6" s="116">
        <v>10</v>
      </c>
      <c r="J6" s="105">
        <f t="shared" si="0"/>
        <v>157</v>
      </c>
      <c r="K6">
        <f t="shared" si="1"/>
        <v>1.3083333333333333</v>
      </c>
      <c r="L6">
        <f t="shared" si="2"/>
        <v>1.3083333333333334E-3</v>
      </c>
      <c r="M6" s="116">
        <v>43</v>
      </c>
      <c r="N6" s="119">
        <v>0.18</v>
      </c>
    </row>
    <row r="7" spans="1:20" ht="15.6" x14ac:dyDescent="0.3">
      <c r="A7" s="105">
        <v>6</v>
      </c>
      <c r="B7" s="115">
        <v>21.771540000000002</v>
      </c>
      <c r="C7" s="116">
        <v>295</v>
      </c>
      <c r="D7" s="116">
        <v>2</v>
      </c>
      <c r="E7" s="116">
        <v>300</v>
      </c>
      <c r="F7" s="116">
        <v>400</v>
      </c>
      <c r="G7" s="106">
        <v>352</v>
      </c>
      <c r="H7" s="105">
        <v>107</v>
      </c>
      <c r="I7" s="116">
        <v>10</v>
      </c>
      <c r="J7" s="105">
        <f t="shared" si="0"/>
        <v>157</v>
      </c>
      <c r="K7">
        <f t="shared" si="1"/>
        <v>1.3083333333333333</v>
      </c>
      <c r="L7">
        <f t="shared" si="2"/>
        <v>1.3083333333333334E-3</v>
      </c>
      <c r="M7" s="116">
        <v>43</v>
      </c>
      <c r="N7" s="119">
        <v>0.23</v>
      </c>
    </row>
    <row r="8" spans="1:20" ht="15.6" x14ac:dyDescent="0.3">
      <c r="A8" s="105">
        <v>7</v>
      </c>
      <c r="B8" s="115">
        <v>21.771540000000002</v>
      </c>
      <c r="C8" s="116">
        <v>343</v>
      </c>
      <c r="D8" s="116">
        <v>2</v>
      </c>
      <c r="E8" s="116">
        <v>300</v>
      </c>
      <c r="F8" s="116">
        <v>400</v>
      </c>
      <c r="G8" s="106">
        <v>352</v>
      </c>
      <c r="H8" s="105">
        <v>107</v>
      </c>
      <c r="I8" s="116">
        <v>10</v>
      </c>
      <c r="J8" s="105">
        <f t="shared" si="0"/>
        <v>157</v>
      </c>
      <c r="K8">
        <f t="shared" si="1"/>
        <v>1.3083333333333333</v>
      </c>
      <c r="L8">
        <f t="shared" si="2"/>
        <v>1.3083333333333334E-3</v>
      </c>
      <c r="M8" s="116">
        <v>43</v>
      </c>
      <c r="N8" s="119">
        <v>0.28000000000000003</v>
      </c>
    </row>
    <row r="9" spans="1:20" ht="15.6" x14ac:dyDescent="0.3">
      <c r="A9" s="105">
        <v>8</v>
      </c>
      <c r="B9" s="115">
        <v>21.771540000000002</v>
      </c>
      <c r="C9" s="116">
        <v>392</v>
      </c>
      <c r="D9" s="116">
        <v>2</v>
      </c>
      <c r="E9" s="116">
        <v>300</v>
      </c>
      <c r="F9" s="116">
        <v>400</v>
      </c>
      <c r="G9" s="106">
        <v>352</v>
      </c>
      <c r="H9" s="105">
        <v>107</v>
      </c>
      <c r="I9" s="116">
        <v>10</v>
      </c>
      <c r="J9" s="105">
        <f t="shared" si="0"/>
        <v>157</v>
      </c>
      <c r="K9">
        <f t="shared" si="1"/>
        <v>1.3083333333333333</v>
      </c>
      <c r="L9">
        <f t="shared" si="2"/>
        <v>1.3083333333333334E-3</v>
      </c>
      <c r="M9" s="116">
        <v>43</v>
      </c>
      <c r="N9" s="119">
        <v>0.35</v>
      </c>
    </row>
    <row r="10" spans="1:20" ht="15.6" x14ac:dyDescent="0.3">
      <c r="A10" s="105">
        <v>9</v>
      </c>
      <c r="B10" s="115">
        <v>27.949950000000001</v>
      </c>
      <c r="C10" s="116">
        <v>245</v>
      </c>
      <c r="D10" s="116">
        <v>2</v>
      </c>
      <c r="E10" s="116">
        <v>300</v>
      </c>
      <c r="F10" s="116">
        <v>600</v>
      </c>
      <c r="G10" s="106">
        <v>560</v>
      </c>
      <c r="H10" s="105">
        <v>115</v>
      </c>
      <c r="I10" s="116">
        <v>10</v>
      </c>
      <c r="J10" s="105">
        <f t="shared" si="0"/>
        <v>157</v>
      </c>
      <c r="K10">
        <f t="shared" si="1"/>
        <v>1.57</v>
      </c>
      <c r="L10">
        <f t="shared" si="2"/>
        <v>8.7222222222222226E-4</v>
      </c>
      <c r="M10" s="116">
        <v>35</v>
      </c>
      <c r="N10" s="119">
        <v>0.2</v>
      </c>
    </row>
    <row r="11" spans="1:20" ht="15.6" x14ac:dyDescent="0.3">
      <c r="A11" s="105">
        <v>10</v>
      </c>
      <c r="B11" s="115">
        <v>27.949950000000001</v>
      </c>
      <c r="C11" s="116">
        <v>295</v>
      </c>
      <c r="D11" s="116">
        <v>2</v>
      </c>
      <c r="E11" s="116">
        <v>300</v>
      </c>
      <c r="F11" s="116">
        <v>600</v>
      </c>
      <c r="G11" s="106">
        <v>560</v>
      </c>
      <c r="H11" s="105">
        <v>115</v>
      </c>
      <c r="I11" s="116">
        <v>10</v>
      </c>
      <c r="J11" s="105">
        <f t="shared" si="0"/>
        <v>157</v>
      </c>
      <c r="K11">
        <f t="shared" si="1"/>
        <v>1.57</v>
      </c>
      <c r="L11">
        <f t="shared" si="2"/>
        <v>8.7222222222222226E-4</v>
      </c>
      <c r="M11" s="116">
        <v>35</v>
      </c>
      <c r="N11" s="119">
        <v>0.28000000000000003</v>
      </c>
    </row>
    <row r="12" spans="1:20" ht="15.6" x14ac:dyDescent="0.3">
      <c r="A12" s="105">
        <v>11</v>
      </c>
      <c r="B12" s="115">
        <v>27.949950000000001</v>
      </c>
      <c r="C12" s="116">
        <v>343</v>
      </c>
      <c r="D12" s="116">
        <v>2</v>
      </c>
      <c r="E12" s="116">
        <v>300</v>
      </c>
      <c r="F12" s="116">
        <v>600</v>
      </c>
      <c r="G12" s="106">
        <v>560</v>
      </c>
      <c r="H12" s="105">
        <v>115</v>
      </c>
      <c r="I12" s="116">
        <v>10</v>
      </c>
      <c r="J12" s="105">
        <f t="shared" si="0"/>
        <v>157</v>
      </c>
      <c r="K12">
        <f t="shared" si="1"/>
        <v>1.57</v>
      </c>
      <c r="L12">
        <f t="shared" si="2"/>
        <v>8.7222222222222226E-4</v>
      </c>
      <c r="M12" s="116">
        <v>35</v>
      </c>
      <c r="N12" s="119">
        <v>0.31</v>
      </c>
    </row>
    <row r="13" spans="1:20" ht="15.6" x14ac:dyDescent="0.3">
      <c r="A13" s="105">
        <v>12</v>
      </c>
      <c r="B13" s="115">
        <v>27.949950000000001</v>
      </c>
      <c r="C13" s="116">
        <v>392</v>
      </c>
      <c r="D13" s="116">
        <v>2</v>
      </c>
      <c r="E13" s="116">
        <v>300</v>
      </c>
      <c r="F13" s="116">
        <v>600</v>
      </c>
      <c r="G13" s="106">
        <v>560</v>
      </c>
      <c r="H13" s="105">
        <v>115</v>
      </c>
      <c r="I13" s="116">
        <v>10</v>
      </c>
      <c r="J13" s="105">
        <f t="shared" si="0"/>
        <v>157</v>
      </c>
      <c r="K13">
        <f t="shared" si="1"/>
        <v>1.57</v>
      </c>
      <c r="L13">
        <f t="shared" si="2"/>
        <v>8.7222222222222226E-4</v>
      </c>
      <c r="M13" s="116">
        <v>35</v>
      </c>
      <c r="N13" s="119">
        <v>0.41</v>
      </c>
    </row>
    <row r="14" spans="1:20" ht="15.6" x14ac:dyDescent="0.3">
      <c r="A14" s="105">
        <v>13</v>
      </c>
      <c r="B14" s="115">
        <v>24.51</v>
      </c>
      <c r="C14" s="116">
        <v>245</v>
      </c>
      <c r="D14" s="116">
        <v>2</v>
      </c>
      <c r="E14" s="116">
        <v>300</v>
      </c>
      <c r="F14" s="116">
        <v>600</v>
      </c>
      <c r="G14" s="106">
        <v>550</v>
      </c>
      <c r="H14" s="105">
        <v>105</v>
      </c>
      <c r="I14" s="116">
        <v>10</v>
      </c>
      <c r="J14" s="105">
        <f t="shared" si="0"/>
        <v>157</v>
      </c>
      <c r="K14">
        <f t="shared" si="1"/>
        <v>1.256</v>
      </c>
      <c r="L14">
        <f t="shared" si="2"/>
        <v>8.7222222222222226E-4</v>
      </c>
      <c r="M14" s="116">
        <v>45</v>
      </c>
      <c r="N14" s="119">
        <v>0.21</v>
      </c>
    </row>
    <row r="15" spans="1:20" ht="15.6" x14ac:dyDescent="0.3">
      <c r="A15" s="105">
        <v>14</v>
      </c>
      <c r="B15" s="115">
        <v>26.38083</v>
      </c>
      <c r="C15" s="116">
        <v>245</v>
      </c>
      <c r="D15" s="116">
        <v>2</v>
      </c>
      <c r="E15" s="116">
        <v>300</v>
      </c>
      <c r="F15" s="116">
        <v>600</v>
      </c>
      <c r="G15" s="106">
        <v>560</v>
      </c>
      <c r="H15" s="106">
        <v>115</v>
      </c>
      <c r="I15" s="116">
        <v>10</v>
      </c>
      <c r="J15" s="105">
        <f t="shared" si="0"/>
        <v>157</v>
      </c>
      <c r="K15">
        <f t="shared" si="1"/>
        <v>1.57</v>
      </c>
      <c r="L15">
        <f t="shared" si="2"/>
        <v>8.7222222222222226E-4</v>
      </c>
      <c r="M15" s="116">
        <v>35</v>
      </c>
      <c r="N15" s="119">
        <v>0.19</v>
      </c>
    </row>
    <row r="16" spans="1:20" ht="15.6" x14ac:dyDescent="0.3">
      <c r="A16" s="105">
        <v>15</v>
      </c>
      <c r="B16" s="115">
        <v>26.38083</v>
      </c>
      <c r="C16" s="116">
        <v>295</v>
      </c>
      <c r="D16" s="116">
        <v>2</v>
      </c>
      <c r="E16" s="116">
        <v>300</v>
      </c>
      <c r="F16" s="116">
        <v>600</v>
      </c>
      <c r="G16" s="106">
        <v>560</v>
      </c>
      <c r="H16" s="106">
        <v>115</v>
      </c>
      <c r="I16" s="116">
        <v>10</v>
      </c>
      <c r="J16" s="105">
        <f t="shared" si="0"/>
        <v>157</v>
      </c>
      <c r="K16">
        <f t="shared" si="1"/>
        <v>1.57</v>
      </c>
      <c r="L16">
        <f t="shared" si="2"/>
        <v>8.7222222222222226E-4</v>
      </c>
      <c r="M16" s="116">
        <v>35</v>
      </c>
      <c r="N16" s="119">
        <v>0.25</v>
      </c>
    </row>
    <row r="17" spans="1:14" ht="15.6" x14ac:dyDescent="0.3">
      <c r="A17" s="105">
        <v>16</v>
      </c>
      <c r="B17" s="115">
        <v>26.38083</v>
      </c>
      <c r="C17" s="116">
        <v>343</v>
      </c>
      <c r="D17" s="116">
        <v>2</v>
      </c>
      <c r="E17" s="116">
        <v>300</v>
      </c>
      <c r="F17" s="116">
        <v>600</v>
      </c>
      <c r="G17" s="106">
        <v>560</v>
      </c>
      <c r="H17" s="106">
        <v>115</v>
      </c>
      <c r="I17" s="116">
        <v>10</v>
      </c>
      <c r="J17" s="105">
        <f t="shared" si="0"/>
        <v>157</v>
      </c>
      <c r="K17">
        <f t="shared" si="1"/>
        <v>1.57</v>
      </c>
      <c r="L17">
        <f t="shared" si="2"/>
        <v>8.7222222222222226E-4</v>
      </c>
      <c r="M17" s="116">
        <v>35</v>
      </c>
      <c r="N17" s="119">
        <v>0.28000000000000003</v>
      </c>
    </row>
    <row r="18" spans="1:14" ht="15.6" x14ac:dyDescent="0.3">
      <c r="A18" s="105">
        <v>17</v>
      </c>
      <c r="B18" s="115">
        <v>26.38083</v>
      </c>
      <c r="C18" s="116">
        <v>392</v>
      </c>
      <c r="D18" s="116">
        <v>2</v>
      </c>
      <c r="E18" s="116">
        <v>300</v>
      </c>
      <c r="F18" s="116">
        <v>600</v>
      </c>
      <c r="G18" s="106">
        <v>560</v>
      </c>
      <c r="H18" s="105">
        <v>115</v>
      </c>
      <c r="I18" s="116">
        <v>10</v>
      </c>
      <c r="J18" s="105">
        <f t="shared" si="0"/>
        <v>157</v>
      </c>
      <c r="K18">
        <f t="shared" si="1"/>
        <v>1.57</v>
      </c>
      <c r="L18">
        <f t="shared" si="2"/>
        <v>8.7222222222222226E-4</v>
      </c>
      <c r="M18" s="116">
        <v>35</v>
      </c>
      <c r="N18" s="119">
        <v>0.32</v>
      </c>
    </row>
    <row r="19" spans="1:14" ht="15.6" x14ac:dyDescent="0.3">
      <c r="A19" s="105">
        <v>18</v>
      </c>
      <c r="B19" s="115">
        <v>24.615570000000002</v>
      </c>
      <c r="C19" s="116">
        <v>245</v>
      </c>
      <c r="D19" s="116">
        <v>2</v>
      </c>
      <c r="E19" s="116">
        <v>300</v>
      </c>
      <c r="F19" s="116">
        <v>600</v>
      </c>
      <c r="G19" s="106">
        <v>550</v>
      </c>
      <c r="H19" s="105">
        <v>105</v>
      </c>
      <c r="I19" s="116">
        <v>10</v>
      </c>
      <c r="J19" s="105">
        <f t="shared" si="0"/>
        <v>157</v>
      </c>
      <c r="K19">
        <f t="shared" si="1"/>
        <v>1.256</v>
      </c>
      <c r="L19">
        <f t="shared" si="2"/>
        <v>8.7222222222222226E-4</v>
      </c>
      <c r="M19" s="116">
        <v>45</v>
      </c>
      <c r="N19" s="119">
        <v>0.26</v>
      </c>
    </row>
    <row r="20" spans="1:14" ht="15.6" x14ac:dyDescent="0.3">
      <c r="A20" s="105">
        <v>19</v>
      </c>
      <c r="B20" s="115">
        <v>24.615570000000002</v>
      </c>
      <c r="C20" s="116">
        <v>295</v>
      </c>
      <c r="D20" s="116">
        <v>2</v>
      </c>
      <c r="E20" s="116">
        <v>300</v>
      </c>
      <c r="F20" s="116">
        <v>600</v>
      </c>
      <c r="G20" s="106">
        <v>550</v>
      </c>
      <c r="H20" s="105">
        <v>105</v>
      </c>
      <c r="I20" s="116">
        <v>10</v>
      </c>
      <c r="J20" s="105">
        <f t="shared" si="0"/>
        <v>157</v>
      </c>
      <c r="K20">
        <f t="shared" si="1"/>
        <v>1.256</v>
      </c>
      <c r="L20">
        <f t="shared" si="2"/>
        <v>8.7222222222222226E-4</v>
      </c>
      <c r="M20" s="116">
        <v>45</v>
      </c>
      <c r="N20" s="119">
        <v>0.31</v>
      </c>
    </row>
    <row r="21" spans="1:14" ht="15.6" x14ac:dyDescent="0.3">
      <c r="A21" s="105">
        <v>20</v>
      </c>
      <c r="B21" s="115">
        <v>24.615570000000002</v>
      </c>
      <c r="C21" s="116">
        <v>343</v>
      </c>
      <c r="D21" s="116">
        <v>2</v>
      </c>
      <c r="E21" s="116">
        <v>300</v>
      </c>
      <c r="F21" s="116">
        <v>600</v>
      </c>
      <c r="G21" s="106">
        <v>550</v>
      </c>
      <c r="H21" s="105">
        <v>105</v>
      </c>
      <c r="I21" s="116">
        <v>10</v>
      </c>
      <c r="J21" s="105">
        <f t="shared" si="0"/>
        <v>157</v>
      </c>
      <c r="K21">
        <f t="shared" si="1"/>
        <v>1.256</v>
      </c>
      <c r="L21">
        <f t="shared" si="2"/>
        <v>8.7222222222222226E-4</v>
      </c>
      <c r="M21" s="116">
        <v>45</v>
      </c>
      <c r="N21" s="119">
        <v>0.38</v>
      </c>
    </row>
    <row r="22" spans="1:14" ht="15.6" x14ac:dyDescent="0.3">
      <c r="A22" s="105">
        <v>21</v>
      </c>
      <c r="B22" s="115">
        <v>24.615570000000002</v>
      </c>
      <c r="C22" s="116">
        <v>392</v>
      </c>
      <c r="D22" s="116">
        <v>2</v>
      </c>
      <c r="E22" s="116">
        <v>300</v>
      </c>
      <c r="F22" s="116">
        <v>600</v>
      </c>
      <c r="G22" s="106">
        <v>550</v>
      </c>
      <c r="H22" s="105">
        <v>105</v>
      </c>
      <c r="I22" s="116">
        <v>10</v>
      </c>
      <c r="J22" s="105">
        <f t="shared" si="0"/>
        <v>157</v>
      </c>
      <c r="K22">
        <f t="shared" si="1"/>
        <v>1.256</v>
      </c>
      <c r="L22">
        <f t="shared" si="2"/>
        <v>8.7222222222222226E-4</v>
      </c>
      <c r="M22" s="116">
        <v>45</v>
      </c>
      <c r="N22" s="119">
        <v>0.46</v>
      </c>
    </row>
    <row r="23" spans="1:14" ht="15.6" x14ac:dyDescent="0.3">
      <c r="A23" s="105">
        <v>22</v>
      </c>
      <c r="B23" s="115">
        <v>19.614000000000001</v>
      </c>
      <c r="C23" s="116">
        <v>245</v>
      </c>
      <c r="D23" s="116">
        <v>2</v>
      </c>
      <c r="E23" s="116">
        <v>300</v>
      </c>
      <c r="F23" s="116">
        <v>600</v>
      </c>
      <c r="G23" s="106">
        <v>562</v>
      </c>
      <c r="H23" s="105">
        <v>117</v>
      </c>
      <c r="I23" s="116">
        <v>10</v>
      </c>
      <c r="J23" s="105">
        <f t="shared" si="0"/>
        <v>157</v>
      </c>
      <c r="K23">
        <f t="shared" si="1"/>
        <v>1.6526315789473685</v>
      </c>
      <c r="L23">
        <f t="shared" si="2"/>
        <v>8.7222222222222226E-4</v>
      </c>
      <c r="M23" s="116">
        <v>33</v>
      </c>
      <c r="N23" s="119">
        <v>0.14000000000000001</v>
      </c>
    </row>
    <row r="24" spans="1:14" ht="15.6" x14ac:dyDescent="0.3">
      <c r="A24" s="105">
        <v>23</v>
      </c>
      <c r="B24" s="115">
        <v>19.614000000000001</v>
      </c>
      <c r="C24" s="116">
        <v>295</v>
      </c>
      <c r="D24" s="116">
        <v>2</v>
      </c>
      <c r="E24" s="116">
        <v>300</v>
      </c>
      <c r="F24" s="116">
        <v>600</v>
      </c>
      <c r="G24" s="106">
        <v>562</v>
      </c>
      <c r="H24" s="105">
        <v>117</v>
      </c>
      <c r="I24" s="116">
        <v>10</v>
      </c>
      <c r="J24" s="105">
        <f t="shared" si="0"/>
        <v>157</v>
      </c>
      <c r="K24">
        <f t="shared" si="1"/>
        <v>1.6526315789473685</v>
      </c>
      <c r="L24">
        <f t="shared" si="2"/>
        <v>8.7222222222222226E-4</v>
      </c>
      <c r="M24" s="116">
        <v>33</v>
      </c>
      <c r="N24" s="119">
        <v>0.19</v>
      </c>
    </row>
    <row r="25" spans="1:14" ht="15.6" x14ac:dyDescent="0.3">
      <c r="A25" s="105">
        <v>24</v>
      </c>
      <c r="B25" s="115">
        <v>19.614000000000001</v>
      </c>
      <c r="C25" s="116">
        <v>343</v>
      </c>
      <c r="D25" s="116">
        <v>2</v>
      </c>
      <c r="E25" s="116">
        <v>300</v>
      </c>
      <c r="F25" s="116">
        <v>600</v>
      </c>
      <c r="G25" s="106">
        <v>562</v>
      </c>
      <c r="H25" s="105">
        <v>117</v>
      </c>
      <c r="I25" s="116">
        <v>10</v>
      </c>
      <c r="J25" s="105">
        <f t="shared" si="0"/>
        <v>157</v>
      </c>
      <c r="K25">
        <f t="shared" si="1"/>
        <v>1.6526315789473685</v>
      </c>
      <c r="L25">
        <f t="shared" si="2"/>
        <v>8.7222222222222226E-4</v>
      </c>
      <c r="M25" s="116">
        <v>33</v>
      </c>
      <c r="N25" s="119">
        <v>0.27</v>
      </c>
    </row>
    <row r="26" spans="1:14" ht="15.6" x14ac:dyDescent="0.3">
      <c r="A26" s="105">
        <v>25</v>
      </c>
      <c r="B26" s="115">
        <v>19.614000000000001</v>
      </c>
      <c r="C26" s="116">
        <v>392</v>
      </c>
      <c r="D26" s="116">
        <v>2</v>
      </c>
      <c r="E26" s="116">
        <v>300</v>
      </c>
      <c r="F26" s="116">
        <v>600</v>
      </c>
      <c r="G26" s="106">
        <v>562</v>
      </c>
      <c r="H26" s="105">
        <v>117</v>
      </c>
      <c r="I26" s="116">
        <v>10</v>
      </c>
      <c r="J26" s="105">
        <f t="shared" si="0"/>
        <v>157</v>
      </c>
      <c r="K26">
        <f t="shared" si="1"/>
        <v>1.6526315789473685</v>
      </c>
      <c r="L26">
        <f t="shared" si="2"/>
        <v>8.7222222222222226E-4</v>
      </c>
      <c r="M26" s="116">
        <v>33</v>
      </c>
      <c r="N26" s="119">
        <v>0.33</v>
      </c>
    </row>
    <row r="27" spans="1:14" ht="15.6" x14ac:dyDescent="0.3">
      <c r="A27" s="105">
        <v>26</v>
      </c>
      <c r="B27" s="115">
        <v>17.45646</v>
      </c>
      <c r="C27" s="116">
        <v>245</v>
      </c>
      <c r="D27" s="116">
        <v>2</v>
      </c>
      <c r="E27" s="116">
        <v>300</v>
      </c>
      <c r="F27" s="116">
        <v>600</v>
      </c>
      <c r="G27" s="106">
        <v>552</v>
      </c>
      <c r="H27" s="105">
        <v>107</v>
      </c>
      <c r="I27" s="116">
        <v>10</v>
      </c>
      <c r="J27" s="105">
        <f t="shared" si="0"/>
        <v>157</v>
      </c>
      <c r="K27">
        <f t="shared" si="1"/>
        <v>1.3083333333333333</v>
      </c>
      <c r="L27">
        <f t="shared" si="2"/>
        <v>8.7222222222222226E-4</v>
      </c>
      <c r="M27" s="116">
        <v>43</v>
      </c>
      <c r="N27" s="119">
        <v>0.21</v>
      </c>
    </row>
    <row r="28" spans="1:14" ht="15.6" x14ac:dyDescent="0.3">
      <c r="A28" s="105">
        <v>27</v>
      </c>
      <c r="B28" s="115">
        <v>17.45646</v>
      </c>
      <c r="C28" s="116">
        <v>295</v>
      </c>
      <c r="D28" s="116">
        <v>2</v>
      </c>
      <c r="E28" s="116">
        <v>300</v>
      </c>
      <c r="F28" s="116">
        <v>600</v>
      </c>
      <c r="G28" s="106">
        <v>552</v>
      </c>
      <c r="H28" s="105">
        <v>107</v>
      </c>
      <c r="I28" s="116">
        <v>10</v>
      </c>
      <c r="J28" s="105">
        <f t="shared" si="0"/>
        <v>157</v>
      </c>
      <c r="K28">
        <f t="shared" si="1"/>
        <v>1.3083333333333333</v>
      </c>
      <c r="L28">
        <f t="shared" si="2"/>
        <v>8.7222222222222226E-4</v>
      </c>
      <c r="M28" s="116">
        <v>43</v>
      </c>
      <c r="N28" s="119">
        <v>0.27</v>
      </c>
    </row>
    <row r="29" spans="1:14" ht="15.6" x14ac:dyDescent="0.3">
      <c r="A29" s="105">
        <v>28</v>
      </c>
      <c r="B29" s="115">
        <v>17.45646</v>
      </c>
      <c r="C29" s="116">
        <v>343</v>
      </c>
      <c r="D29" s="116">
        <v>2</v>
      </c>
      <c r="E29" s="116">
        <v>300</v>
      </c>
      <c r="F29" s="116">
        <v>600</v>
      </c>
      <c r="G29" s="106">
        <v>552</v>
      </c>
      <c r="H29" s="105">
        <v>107</v>
      </c>
      <c r="I29" s="116">
        <v>10</v>
      </c>
      <c r="J29" s="105">
        <f t="shared" si="0"/>
        <v>157</v>
      </c>
      <c r="K29">
        <f t="shared" si="1"/>
        <v>1.3083333333333333</v>
      </c>
      <c r="L29">
        <f t="shared" si="2"/>
        <v>8.7222222222222226E-4</v>
      </c>
      <c r="M29" s="116">
        <v>43</v>
      </c>
      <c r="N29" s="119">
        <v>0.32</v>
      </c>
    </row>
    <row r="30" spans="1:14" ht="15.6" x14ac:dyDescent="0.3">
      <c r="A30" s="105">
        <v>29</v>
      </c>
      <c r="B30" s="115">
        <v>21.379260000000002</v>
      </c>
      <c r="C30" s="116">
        <v>245</v>
      </c>
      <c r="D30" s="116">
        <v>12</v>
      </c>
      <c r="E30" s="116">
        <v>300</v>
      </c>
      <c r="F30" s="116">
        <v>400</v>
      </c>
      <c r="G30" s="106">
        <v>363</v>
      </c>
      <c r="H30" s="105">
        <v>19.5</v>
      </c>
      <c r="I30" s="116">
        <v>8</v>
      </c>
      <c r="J30" s="105">
        <f t="shared" si="0"/>
        <v>602.88</v>
      </c>
      <c r="K30">
        <f t="shared" si="1"/>
        <v>6.5176216216216218</v>
      </c>
      <c r="L30">
        <f t="shared" si="2"/>
        <v>5.0239999999999998E-3</v>
      </c>
      <c r="M30" s="116">
        <v>33</v>
      </c>
      <c r="N30" s="119">
        <v>0.14000000000000001</v>
      </c>
    </row>
    <row r="31" spans="1:14" ht="15.6" x14ac:dyDescent="0.3">
      <c r="A31" s="105">
        <v>30</v>
      </c>
      <c r="B31" s="115">
        <v>21.379260000000002</v>
      </c>
      <c r="C31" s="116">
        <v>295</v>
      </c>
      <c r="D31" s="116">
        <v>12</v>
      </c>
      <c r="E31" s="116">
        <v>300</v>
      </c>
      <c r="F31" s="116">
        <v>400</v>
      </c>
      <c r="G31" s="106">
        <v>363</v>
      </c>
      <c r="H31" s="106">
        <v>19.5</v>
      </c>
      <c r="I31" s="116">
        <v>8</v>
      </c>
      <c r="J31" s="105">
        <f t="shared" si="0"/>
        <v>602.88</v>
      </c>
      <c r="K31">
        <f t="shared" si="1"/>
        <v>6.5176216216216218</v>
      </c>
      <c r="L31">
        <f t="shared" si="2"/>
        <v>5.0239999999999998E-3</v>
      </c>
      <c r="M31" s="116">
        <v>33</v>
      </c>
      <c r="N31" s="119">
        <v>0.2</v>
      </c>
    </row>
    <row r="32" spans="1:14" ht="15.6" x14ac:dyDescent="0.3">
      <c r="A32" s="105">
        <v>31</v>
      </c>
      <c r="B32" s="115">
        <v>21.379260000000002</v>
      </c>
      <c r="C32" s="116">
        <v>343</v>
      </c>
      <c r="D32" s="116">
        <v>12</v>
      </c>
      <c r="E32" s="116">
        <v>300</v>
      </c>
      <c r="F32" s="116">
        <v>400</v>
      </c>
      <c r="G32" s="106">
        <v>363</v>
      </c>
      <c r="H32" s="106">
        <v>19.5</v>
      </c>
      <c r="I32" s="116">
        <v>8</v>
      </c>
      <c r="J32" s="105">
        <f t="shared" si="0"/>
        <v>602.88</v>
      </c>
      <c r="K32">
        <f t="shared" si="1"/>
        <v>6.5176216216216218</v>
      </c>
      <c r="L32">
        <f t="shared" si="2"/>
        <v>5.0239999999999998E-3</v>
      </c>
      <c r="M32" s="116">
        <v>33</v>
      </c>
      <c r="N32" s="119">
        <v>0.26</v>
      </c>
    </row>
    <row r="33" spans="1:14" ht="15.6" x14ac:dyDescent="0.3">
      <c r="A33" s="105">
        <v>32</v>
      </c>
      <c r="B33" s="115">
        <v>21.379260000000002</v>
      </c>
      <c r="C33" s="116">
        <v>392</v>
      </c>
      <c r="D33" s="116">
        <v>12</v>
      </c>
      <c r="E33" s="116">
        <v>300</v>
      </c>
      <c r="F33" s="116">
        <v>400</v>
      </c>
      <c r="G33" s="106">
        <v>363</v>
      </c>
      <c r="H33" s="106">
        <v>19.5</v>
      </c>
      <c r="I33" s="116">
        <v>8</v>
      </c>
      <c r="J33" s="105">
        <f t="shared" si="0"/>
        <v>602.88</v>
      </c>
      <c r="K33">
        <f t="shared" si="1"/>
        <v>6.5176216216216218</v>
      </c>
      <c r="L33">
        <f t="shared" si="2"/>
        <v>5.0239999999999998E-3</v>
      </c>
      <c r="M33" s="116">
        <v>33</v>
      </c>
      <c r="N33" s="119">
        <v>0.32</v>
      </c>
    </row>
    <row r="34" spans="1:14" ht="15.6" x14ac:dyDescent="0.3">
      <c r="A34" s="105">
        <v>33</v>
      </c>
      <c r="B34" s="115">
        <v>24.027150000000002</v>
      </c>
      <c r="C34" s="116">
        <v>245</v>
      </c>
      <c r="D34" s="116">
        <v>12</v>
      </c>
      <c r="E34" s="116">
        <v>300</v>
      </c>
      <c r="F34" s="116">
        <v>400</v>
      </c>
      <c r="G34" s="106">
        <v>353</v>
      </c>
      <c r="H34" s="105">
        <v>17.833333333333332</v>
      </c>
      <c r="I34" s="116">
        <v>8</v>
      </c>
      <c r="J34" s="105">
        <f t="shared" si="0"/>
        <v>602.88</v>
      </c>
      <c r="K34">
        <f t="shared" si="1"/>
        <v>5.1308936170212762</v>
      </c>
      <c r="L34">
        <f t="shared" si="2"/>
        <v>5.0239999999999998E-3</v>
      </c>
      <c r="M34" s="116">
        <v>43</v>
      </c>
      <c r="N34" s="119">
        <v>0.15</v>
      </c>
    </row>
    <row r="35" spans="1:14" ht="15.6" x14ac:dyDescent="0.3">
      <c r="A35" s="105">
        <v>34</v>
      </c>
      <c r="B35" s="115">
        <v>24.027150000000002</v>
      </c>
      <c r="C35" s="116">
        <v>295</v>
      </c>
      <c r="D35" s="116">
        <v>12</v>
      </c>
      <c r="E35" s="116">
        <v>300</v>
      </c>
      <c r="F35" s="116">
        <v>400</v>
      </c>
      <c r="G35" s="106">
        <v>353</v>
      </c>
      <c r="H35" s="105">
        <v>17.833333333333332</v>
      </c>
      <c r="I35" s="116">
        <v>8</v>
      </c>
      <c r="J35" s="105">
        <f t="shared" si="0"/>
        <v>602.88</v>
      </c>
      <c r="K35">
        <f t="shared" si="1"/>
        <v>5.1308936170212762</v>
      </c>
      <c r="L35">
        <f t="shared" si="2"/>
        <v>5.0239999999999998E-3</v>
      </c>
      <c r="M35" s="116">
        <v>43</v>
      </c>
      <c r="N35" s="119">
        <v>0.22</v>
      </c>
    </row>
    <row r="36" spans="1:14" ht="15.6" x14ac:dyDescent="0.3">
      <c r="A36" s="105">
        <v>35</v>
      </c>
      <c r="B36" s="115">
        <v>24.027150000000002</v>
      </c>
      <c r="C36" s="116">
        <v>343</v>
      </c>
      <c r="D36" s="116">
        <v>12</v>
      </c>
      <c r="E36" s="116">
        <v>300</v>
      </c>
      <c r="F36" s="116">
        <v>400</v>
      </c>
      <c r="G36" s="106">
        <v>353</v>
      </c>
      <c r="H36" s="105">
        <v>17.833333333333332</v>
      </c>
      <c r="I36" s="116">
        <v>8</v>
      </c>
      <c r="J36" s="105">
        <f t="shared" si="0"/>
        <v>602.88</v>
      </c>
      <c r="K36">
        <f t="shared" si="1"/>
        <v>5.1308936170212762</v>
      </c>
      <c r="L36">
        <f t="shared" si="2"/>
        <v>5.0239999999999998E-3</v>
      </c>
      <c r="M36" s="116">
        <v>43</v>
      </c>
      <c r="N36" s="119">
        <v>0.31</v>
      </c>
    </row>
    <row r="37" spans="1:14" ht="15.6" x14ac:dyDescent="0.3">
      <c r="A37" s="105">
        <v>36</v>
      </c>
      <c r="B37" s="115">
        <v>24.027150000000002</v>
      </c>
      <c r="C37" s="116">
        <v>392</v>
      </c>
      <c r="D37" s="116">
        <v>12</v>
      </c>
      <c r="E37" s="116">
        <v>300</v>
      </c>
      <c r="F37" s="116">
        <v>400</v>
      </c>
      <c r="G37" s="106">
        <v>353</v>
      </c>
      <c r="H37" s="105">
        <v>17.833333333333332</v>
      </c>
      <c r="I37" s="116">
        <v>8</v>
      </c>
      <c r="J37" s="105">
        <f t="shared" si="0"/>
        <v>602.88</v>
      </c>
      <c r="K37">
        <f t="shared" si="1"/>
        <v>5.1308936170212762</v>
      </c>
      <c r="L37">
        <f t="shared" si="2"/>
        <v>5.0239999999999998E-3</v>
      </c>
      <c r="M37" s="116">
        <v>43</v>
      </c>
      <c r="N37" s="119">
        <v>0.4</v>
      </c>
    </row>
    <row r="38" spans="1:14" ht="15.6" x14ac:dyDescent="0.3">
      <c r="A38" s="105">
        <v>37</v>
      </c>
      <c r="B38" s="115">
        <v>18.731370000000002</v>
      </c>
      <c r="C38" s="116">
        <v>245</v>
      </c>
      <c r="D38" s="116">
        <v>12</v>
      </c>
      <c r="E38" s="116">
        <v>300</v>
      </c>
      <c r="F38" s="116">
        <v>400</v>
      </c>
      <c r="G38" s="106">
        <v>363</v>
      </c>
      <c r="H38" s="105">
        <v>19.5</v>
      </c>
      <c r="I38" s="116">
        <v>8</v>
      </c>
      <c r="J38" s="105">
        <f t="shared" si="0"/>
        <v>602.88</v>
      </c>
      <c r="K38">
        <f t="shared" si="1"/>
        <v>6.5176216216216218</v>
      </c>
      <c r="L38">
        <f t="shared" si="2"/>
        <v>5.0239999999999998E-3</v>
      </c>
      <c r="M38" s="116">
        <v>33</v>
      </c>
      <c r="N38" s="119">
        <v>0.16</v>
      </c>
    </row>
    <row r="39" spans="1:14" ht="15.6" x14ac:dyDescent="0.3">
      <c r="A39" s="105">
        <v>38</v>
      </c>
      <c r="B39" s="115">
        <v>18.731370000000002</v>
      </c>
      <c r="C39" s="116">
        <v>295</v>
      </c>
      <c r="D39" s="116">
        <v>12</v>
      </c>
      <c r="E39" s="116">
        <v>300</v>
      </c>
      <c r="F39" s="116">
        <v>400</v>
      </c>
      <c r="G39" s="106">
        <v>363</v>
      </c>
      <c r="H39" s="105">
        <v>19.5</v>
      </c>
      <c r="I39" s="116">
        <v>8</v>
      </c>
      <c r="J39" s="105">
        <f t="shared" si="0"/>
        <v>602.88</v>
      </c>
      <c r="K39">
        <f t="shared" si="1"/>
        <v>6.5176216216216218</v>
      </c>
      <c r="L39">
        <f t="shared" si="2"/>
        <v>5.0239999999999998E-3</v>
      </c>
      <c r="M39" s="116">
        <v>33</v>
      </c>
      <c r="N39" s="119">
        <v>0.23</v>
      </c>
    </row>
    <row r="40" spans="1:14" ht="15.6" x14ac:dyDescent="0.3">
      <c r="A40" s="105">
        <v>39</v>
      </c>
      <c r="B40" s="115">
        <v>18.731370000000002</v>
      </c>
      <c r="C40" s="116">
        <v>343</v>
      </c>
      <c r="D40" s="116">
        <v>12</v>
      </c>
      <c r="E40" s="116">
        <v>300</v>
      </c>
      <c r="F40" s="116">
        <v>400</v>
      </c>
      <c r="G40" s="106">
        <v>363</v>
      </c>
      <c r="H40" s="105">
        <v>19.5</v>
      </c>
      <c r="I40" s="116">
        <v>8</v>
      </c>
      <c r="J40" s="105">
        <f t="shared" si="0"/>
        <v>602.88</v>
      </c>
      <c r="K40">
        <f t="shared" si="1"/>
        <v>6.5176216216216218</v>
      </c>
      <c r="L40">
        <f t="shared" si="2"/>
        <v>5.0239999999999998E-3</v>
      </c>
      <c r="M40" s="116">
        <v>33</v>
      </c>
      <c r="N40" s="119">
        <v>0.3</v>
      </c>
    </row>
    <row r="41" spans="1:14" ht="15.6" x14ac:dyDescent="0.3">
      <c r="A41" s="105">
        <v>40</v>
      </c>
      <c r="B41" s="115">
        <v>18.731370000000002</v>
      </c>
      <c r="C41" s="116">
        <v>392</v>
      </c>
      <c r="D41" s="116">
        <v>12</v>
      </c>
      <c r="E41" s="116">
        <v>300</v>
      </c>
      <c r="F41" s="116">
        <v>400</v>
      </c>
      <c r="G41" s="106">
        <v>363</v>
      </c>
      <c r="H41" s="105">
        <v>19.5</v>
      </c>
      <c r="I41" s="116">
        <v>8</v>
      </c>
      <c r="J41" s="105">
        <f t="shared" si="0"/>
        <v>602.88</v>
      </c>
      <c r="K41">
        <f t="shared" si="1"/>
        <v>6.5176216216216218</v>
      </c>
      <c r="L41">
        <f t="shared" si="2"/>
        <v>5.0239999999999998E-3</v>
      </c>
      <c r="M41" s="116">
        <v>33</v>
      </c>
      <c r="N41" s="119">
        <v>0.39</v>
      </c>
    </row>
    <row r="42" spans="1:14" ht="15.6" x14ac:dyDescent="0.3">
      <c r="A42" s="105">
        <v>41</v>
      </c>
      <c r="B42" s="115">
        <v>21.183120000000002</v>
      </c>
      <c r="C42" s="116">
        <v>245</v>
      </c>
      <c r="D42" s="116">
        <v>12</v>
      </c>
      <c r="E42" s="116">
        <v>300</v>
      </c>
      <c r="F42" s="116">
        <v>400</v>
      </c>
      <c r="G42" s="106">
        <v>353</v>
      </c>
      <c r="H42" s="105">
        <v>17.833333333333332</v>
      </c>
      <c r="I42" s="116">
        <v>8</v>
      </c>
      <c r="J42" s="105">
        <f t="shared" si="0"/>
        <v>602.88</v>
      </c>
      <c r="K42">
        <f t="shared" si="1"/>
        <v>5.1308936170212762</v>
      </c>
      <c r="L42">
        <f t="shared" si="2"/>
        <v>5.0239999999999998E-3</v>
      </c>
      <c r="M42" s="116">
        <v>43</v>
      </c>
      <c r="N42" s="119">
        <v>0.19</v>
      </c>
    </row>
    <row r="43" spans="1:14" ht="15.6" x14ac:dyDescent="0.3">
      <c r="A43" s="105">
        <v>42</v>
      </c>
      <c r="B43" s="115">
        <v>21.183120000000002</v>
      </c>
      <c r="C43" s="116">
        <v>295</v>
      </c>
      <c r="D43" s="116">
        <v>12</v>
      </c>
      <c r="E43" s="116">
        <v>300</v>
      </c>
      <c r="F43" s="116">
        <v>400</v>
      </c>
      <c r="G43" s="106">
        <v>353</v>
      </c>
      <c r="H43" s="105">
        <v>17.833333333333332</v>
      </c>
      <c r="I43" s="116">
        <v>8</v>
      </c>
      <c r="J43" s="105">
        <f t="shared" si="0"/>
        <v>602.88</v>
      </c>
      <c r="K43">
        <f t="shared" si="1"/>
        <v>5.1308936170212762</v>
      </c>
      <c r="L43">
        <f t="shared" si="2"/>
        <v>5.0239999999999998E-3</v>
      </c>
      <c r="M43" s="116">
        <v>43</v>
      </c>
      <c r="N43" s="119">
        <v>0.26</v>
      </c>
    </row>
    <row r="44" spans="1:14" ht="15.6" x14ac:dyDescent="0.3">
      <c r="A44" s="105">
        <v>43</v>
      </c>
      <c r="B44" s="115">
        <v>21.183120000000002</v>
      </c>
      <c r="C44" s="116">
        <v>343</v>
      </c>
      <c r="D44" s="116">
        <v>12</v>
      </c>
      <c r="E44" s="116">
        <v>300</v>
      </c>
      <c r="F44" s="116">
        <v>400</v>
      </c>
      <c r="G44" s="106">
        <v>353</v>
      </c>
      <c r="H44" s="105">
        <v>17.833333333333332</v>
      </c>
      <c r="I44" s="116">
        <v>8</v>
      </c>
      <c r="J44" s="105">
        <f t="shared" si="0"/>
        <v>602.88</v>
      </c>
      <c r="K44">
        <f t="shared" si="1"/>
        <v>5.1308936170212762</v>
      </c>
      <c r="L44">
        <f t="shared" si="2"/>
        <v>5.0239999999999998E-3</v>
      </c>
      <c r="M44" s="116">
        <v>43</v>
      </c>
      <c r="N44" s="119">
        <v>0.32</v>
      </c>
    </row>
    <row r="45" spans="1:14" ht="15.6" x14ac:dyDescent="0.3">
      <c r="A45" s="105">
        <v>44</v>
      </c>
      <c r="B45" s="115">
        <v>21.183120000000002</v>
      </c>
      <c r="C45" s="116">
        <v>392</v>
      </c>
      <c r="D45" s="116">
        <v>12</v>
      </c>
      <c r="E45" s="116">
        <v>300</v>
      </c>
      <c r="F45" s="116">
        <v>400</v>
      </c>
      <c r="G45" s="106">
        <v>353</v>
      </c>
      <c r="H45" s="105">
        <v>17.833333333333332</v>
      </c>
      <c r="I45" s="116">
        <v>8</v>
      </c>
      <c r="J45" s="105">
        <f t="shared" si="0"/>
        <v>602.88</v>
      </c>
      <c r="K45">
        <f t="shared" si="1"/>
        <v>5.1308936170212762</v>
      </c>
      <c r="L45">
        <f t="shared" si="2"/>
        <v>5.0239999999999998E-3</v>
      </c>
      <c r="M45" s="116">
        <v>43</v>
      </c>
      <c r="N45" s="119">
        <v>0.43</v>
      </c>
    </row>
    <row r="46" spans="1:14" ht="15.6" x14ac:dyDescent="0.3">
      <c r="A46" s="105">
        <v>45</v>
      </c>
      <c r="B46" s="115">
        <v>18.437160000000002</v>
      </c>
      <c r="C46" s="116">
        <v>245</v>
      </c>
      <c r="D46" s="116">
        <v>12</v>
      </c>
      <c r="E46" s="116">
        <v>300</v>
      </c>
      <c r="F46" s="116">
        <v>400</v>
      </c>
      <c r="G46" s="106">
        <v>363</v>
      </c>
      <c r="H46" s="105">
        <v>19.5</v>
      </c>
      <c r="I46" s="116">
        <v>8</v>
      </c>
      <c r="J46" s="105">
        <f t="shared" si="0"/>
        <v>602.88</v>
      </c>
      <c r="K46">
        <f t="shared" si="1"/>
        <v>6.5176216216216218</v>
      </c>
      <c r="L46">
        <f t="shared" si="2"/>
        <v>5.0239999999999998E-3</v>
      </c>
      <c r="M46" s="116">
        <v>33</v>
      </c>
      <c r="N46" s="119">
        <v>0.19</v>
      </c>
    </row>
    <row r="47" spans="1:14" ht="15.6" x14ac:dyDescent="0.3">
      <c r="A47" s="105">
        <v>46</v>
      </c>
      <c r="B47" s="115">
        <v>18.437160000000002</v>
      </c>
      <c r="C47" s="116">
        <v>295</v>
      </c>
      <c r="D47" s="116">
        <v>12</v>
      </c>
      <c r="E47" s="116">
        <v>300</v>
      </c>
      <c r="F47" s="116">
        <v>400</v>
      </c>
      <c r="G47" s="106">
        <v>363</v>
      </c>
      <c r="H47" s="106">
        <v>19.5</v>
      </c>
      <c r="I47" s="116">
        <v>8</v>
      </c>
      <c r="J47" s="105">
        <f t="shared" si="0"/>
        <v>602.88</v>
      </c>
      <c r="K47">
        <f t="shared" si="1"/>
        <v>6.5176216216216218</v>
      </c>
      <c r="L47">
        <f t="shared" si="2"/>
        <v>5.0239999999999998E-3</v>
      </c>
      <c r="M47" s="116">
        <v>33</v>
      </c>
      <c r="N47" s="119">
        <v>0.25</v>
      </c>
    </row>
    <row r="48" spans="1:14" ht="15.6" x14ac:dyDescent="0.3">
      <c r="A48" s="105">
        <v>47</v>
      </c>
      <c r="B48" s="115">
        <v>18.437160000000002</v>
      </c>
      <c r="C48" s="116">
        <v>343</v>
      </c>
      <c r="D48" s="116">
        <v>12</v>
      </c>
      <c r="E48" s="116">
        <v>300</v>
      </c>
      <c r="F48" s="116">
        <v>400</v>
      </c>
      <c r="G48" s="106">
        <v>363</v>
      </c>
      <c r="H48" s="106">
        <v>19.5</v>
      </c>
      <c r="I48" s="116">
        <v>8</v>
      </c>
      <c r="J48" s="105">
        <f t="shared" si="0"/>
        <v>602.88</v>
      </c>
      <c r="K48">
        <f t="shared" si="1"/>
        <v>6.5176216216216218</v>
      </c>
      <c r="L48">
        <f t="shared" si="2"/>
        <v>5.0239999999999998E-3</v>
      </c>
      <c r="M48" s="116">
        <v>33</v>
      </c>
      <c r="N48" s="119">
        <v>0.32</v>
      </c>
    </row>
    <row r="49" spans="1:14" ht="15.6" x14ac:dyDescent="0.3">
      <c r="A49" s="105">
        <v>48</v>
      </c>
      <c r="B49" s="115">
        <v>18.437160000000002</v>
      </c>
      <c r="C49" s="116">
        <v>392</v>
      </c>
      <c r="D49" s="116">
        <v>12</v>
      </c>
      <c r="E49" s="116">
        <v>300</v>
      </c>
      <c r="F49" s="116">
        <v>400</v>
      </c>
      <c r="G49" s="106">
        <v>363</v>
      </c>
      <c r="H49" s="106">
        <v>19.5</v>
      </c>
      <c r="I49" s="116">
        <v>8</v>
      </c>
      <c r="J49" s="105">
        <f t="shared" si="0"/>
        <v>602.88</v>
      </c>
      <c r="K49">
        <f t="shared" si="1"/>
        <v>6.5176216216216218</v>
      </c>
      <c r="L49">
        <f t="shared" si="2"/>
        <v>5.0239999999999998E-3</v>
      </c>
      <c r="M49" s="116">
        <v>33</v>
      </c>
      <c r="N49" s="119">
        <v>0.48</v>
      </c>
    </row>
    <row r="50" spans="1:14" ht="15.6" x14ac:dyDescent="0.3">
      <c r="A50" s="105">
        <v>49</v>
      </c>
      <c r="B50" s="115">
        <v>21.673470000000002</v>
      </c>
      <c r="C50" s="116">
        <v>245</v>
      </c>
      <c r="D50" s="116">
        <v>12</v>
      </c>
      <c r="E50" s="116">
        <v>300</v>
      </c>
      <c r="F50" s="116">
        <v>400</v>
      </c>
      <c r="G50" s="106">
        <v>353</v>
      </c>
      <c r="H50" s="105">
        <v>17.833333333333332</v>
      </c>
      <c r="I50" s="116">
        <v>8</v>
      </c>
      <c r="J50" s="105">
        <f t="shared" si="0"/>
        <v>602.88</v>
      </c>
      <c r="K50">
        <f t="shared" si="1"/>
        <v>5.1308936170212762</v>
      </c>
      <c r="L50">
        <f t="shared" si="2"/>
        <v>5.0239999999999998E-3</v>
      </c>
      <c r="M50" s="116">
        <v>43</v>
      </c>
      <c r="N50" s="119">
        <v>0.22</v>
      </c>
    </row>
    <row r="51" spans="1:14" ht="15.6" x14ac:dyDescent="0.3">
      <c r="A51" s="105">
        <v>50</v>
      </c>
      <c r="B51" s="115">
        <v>21.673470000000002</v>
      </c>
      <c r="C51" s="116">
        <v>295</v>
      </c>
      <c r="D51" s="116">
        <v>12</v>
      </c>
      <c r="E51" s="116">
        <v>300</v>
      </c>
      <c r="F51" s="116">
        <v>400</v>
      </c>
      <c r="G51" s="106">
        <v>353</v>
      </c>
      <c r="H51" s="105">
        <v>17.833333333333332</v>
      </c>
      <c r="I51" s="116">
        <v>8</v>
      </c>
      <c r="J51" s="105">
        <f t="shared" si="0"/>
        <v>602.88</v>
      </c>
      <c r="K51">
        <f t="shared" si="1"/>
        <v>5.1308936170212762</v>
      </c>
      <c r="L51">
        <f t="shared" si="2"/>
        <v>5.0239999999999998E-3</v>
      </c>
      <c r="M51" s="116">
        <v>43</v>
      </c>
      <c r="N51" s="119">
        <v>0.3</v>
      </c>
    </row>
    <row r="52" spans="1:14" ht="15.6" x14ac:dyDescent="0.3">
      <c r="A52" s="105">
        <v>51</v>
      </c>
      <c r="B52" s="115">
        <v>21.673470000000002</v>
      </c>
      <c r="C52" s="116">
        <v>343</v>
      </c>
      <c r="D52" s="116">
        <v>12</v>
      </c>
      <c r="E52" s="116">
        <v>300</v>
      </c>
      <c r="F52" s="116">
        <v>400</v>
      </c>
      <c r="G52" s="106">
        <v>353</v>
      </c>
      <c r="H52" s="105">
        <v>17.833333333333332</v>
      </c>
      <c r="I52" s="116">
        <v>8</v>
      </c>
      <c r="J52" s="105">
        <f t="shared" si="0"/>
        <v>602.88</v>
      </c>
      <c r="K52">
        <f t="shared" si="1"/>
        <v>5.1308936170212762</v>
      </c>
      <c r="L52">
        <f t="shared" si="2"/>
        <v>5.0239999999999998E-3</v>
      </c>
      <c r="M52" s="116">
        <v>43</v>
      </c>
      <c r="N52" s="119">
        <v>0.4</v>
      </c>
    </row>
    <row r="53" spans="1:14" ht="15.6" x14ac:dyDescent="0.3">
      <c r="A53" s="105">
        <v>52</v>
      </c>
      <c r="B53" s="115">
        <v>21.673470000000002</v>
      </c>
      <c r="C53" s="116">
        <v>392</v>
      </c>
      <c r="D53" s="116">
        <v>12</v>
      </c>
      <c r="E53" s="116">
        <v>300</v>
      </c>
      <c r="F53" s="116">
        <v>400</v>
      </c>
      <c r="G53" s="106">
        <v>353</v>
      </c>
      <c r="H53" s="105">
        <v>17.833333333333332</v>
      </c>
      <c r="I53" s="116">
        <v>8</v>
      </c>
      <c r="J53" s="105">
        <f t="shared" si="0"/>
        <v>602.88</v>
      </c>
      <c r="K53">
        <f t="shared" si="1"/>
        <v>5.1308936170212762</v>
      </c>
      <c r="L53">
        <f t="shared" si="2"/>
        <v>5.0239999999999998E-3</v>
      </c>
      <c r="M53" s="116">
        <v>43</v>
      </c>
      <c r="N53" s="119">
        <v>0.48</v>
      </c>
    </row>
    <row r="54" spans="1:14" ht="15.6" x14ac:dyDescent="0.3">
      <c r="A54" s="105">
        <v>53</v>
      </c>
      <c r="B54" s="115">
        <v>21.967680000000001</v>
      </c>
      <c r="C54" s="116">
        <v>245</v>
      </c>
      <c r="D54" s="116">
        <v>12</v>
      </c>
      <c r="E54" s="116">
        <v>300</v>
      </c>
      <c r="F54" s="116">
        <v>600</v>
      </c>
      <c r="G54" s="106">
        <v>563</v>
      </c>
      <c r="H54" s="105">
        <v>19.5</v>
      </c>
      <c r="I54" s="116">
        <v>8</v>
      </c>
      <c r="J54" s="105">
        <f t="shared" si="0"/>
        <v>602.88</v>
      </c>
      <c r="K54">
        <f t="shared" si="1"/>
        <v>6.5176216216216218</v>
      </c>
      <c r="L54">
        <f t="shared" si="2"/>
        <v>3.3493333333333335E-3</v>
      </c>
      <c r="M54" s="116">
        <v>33</v>
      </c>
      <c r="N54" s="119">
        <v>0.18</v>
      </c>
    </row>
    <row r="55" spans="1:14" ht="15.6" x14ac:dyDescent="0.3">
      <c r="A55" s="105">
        <v>54</v>
      </c>
      <c r="B55" s="115">
        <v>21.967680000000001</v>
      </c>
      <c r="C55" s="116">
        <v>295</v>
      </c>
      <c r="D55" s="116">
        <v>12</v>
      </c>
      <c r="E55" s="116">
        <v>300</v>
      </c>
      <c r="F55" s="116">
        <v>600</v>
      </c>
      <c r="G55" s="106">
        <v>563</v>
      </c>
      <c r="H55" s="105">
        <v>19.5</v>
      </c>
      <c r="I55" s="116">
        <v>8</v>
      </c>
      <c r="J55" s="105">
        <f t="shared" si="0"/>
        <v>602.88</v>
      </c>
      <c r="K55">
        <f t="shared" si="1"/>
        <v>6.5176216216216218</v>
      </c>
      <c r="L55">
        <f t="shared" si="2"/>
        <v>3.3493333333333335E-3</v>
      </c>
      <c r="M55" s="116">
        <v>33</v>
      </c>
      <c r="N55" s="119">
        <v>0.23</v>
      </c>
    </row>
    <row r="56" spans="1:14" ht="15.6" x14ac:dyDescent="0.3">
      <c r="A56" s="105">
        <v>55</v>
      </c>
      <c r="B56" s="115">
        <v>21.967680000000001</v>
      </c>
      <c r="C56" s="116">
        <v>343</v>
      </c>
      <c r="D56" s="116">
        <v>12</v>
      </c>
      <c r="E56" s="116">
        <v>300</v>
      </c>
      <c r="F56" s="116">
        <v>600</v>
      </c>
      <c r="G56" s="106">
        <v>563</v>
      </c>
      <c r="H56" s="105">
        <v>19.5</v>
      </c>
      <c r="I56" s="116">
        <v>8</v>
      </c>
      <c r="J56" s="105">
        <f t="shared" si="0"/>
        <v>602.88</v>
      </c>
      <c r="K56">
        <f t="shared" si="1"/>
        <v>6.5176216216216218</v>
      </c>
      <c r="L56">
        <f t="shared" si="2"/>
        <v>3.3493333333333335E-3</v>
      </c>
      <c r="M56" s="116">
        <v>33</v>
      </c>
      <c r="N56" s="119">
        <v>0.3</v>
      </c>
    </row>
    <row r="57" spans="1:14" ht="15.6" x14ac:dyDescent="0.3">
      <c r="A57" s="105">
        <v>56</v>
      </c>
      <c r="B57" s="115">
        <v>21.967680000000001</v>
      </c>
      <c r="C57" s="116">
        <v>392</v>
      </c>
      <c r="D57" s="116">
        <v>12</v>
      </c>
      <c r="E57" s="116">
        <v>300</v>
      </c>
      <c r="F57" s="116">
        <v>600</v>
      </c>
      <c r="G57" s="106">
        <v>563</v>
      </c>
      <c r="H57" s="105">
        <v>19.5</v>
      </c>
      <c r="I57" s="116">
        <v>8</v>
      </c>
      <c r="J57" s="105">
        <f t="shared" si="0"/>
        <v>602.88</v>
      </c>
      <c r="K57">
        <f t="shared" si="1"/>
        <v>6.5176216216216218</v>
      </c>
      <c r="L57">
        <f t="shared" si="2"/>
        <v>3.3493333333333335E-3</v>
      </c>
      <c r="M57" s="116">
        <v>33</v>
      </c>
      <c r="N57" s="119">
        <v>0.47</v>
      </c>
    </row>
    <row r="58" spans="1:14" ht="15.6" x14ac:dyDescent="0.3">
      <c r="A58" s="105">
        <v>57</v>
      </c>
      <c r="B58" s="115">
        <v>19.025580000000001</v>
      </c>
      <c r="C58" s="116">
        <v>245</v>
      </c>
      <c r="D58" s="116">
        <v>12</v>
      </c>
      <c r="E58" s="116">
        <v>300</v>
      </c>
      <c r="F58" s="116">
        <v>600</v>
      </c>
      <c r="G58" s="106">
        <v>553</v>
      </c>
      <c r="H58" s="105">
        <v>17.833333333333332</v>
      </c>
      <c r="I58" s="116">
        <v>8</v>
      </c>
      <c r="J58" s="105">
        <f t="shared" si="0"/>
        <v>602.88</v>
      </c>
      <c r="K58">
        <f t="shared" si="1"/>
        <v>5.1308936170212762</v>
      </c>
      <c r="L58">
        <f t="shared" si="2"/>
        <v>3.3493333333333335E-3</v>
      </c>
      <c r="M58" s="116">
        <v>43</v>
      </c>
      <c r="N58" s="119">
        <v>0.22</v>
      </c>
    </row>
    <row r="59" spans="1:14" ht="15.6" x14ac:dyDescent="0.3">
      <c r="A59" s="105">
        <v>58</v>
      </c>
      <c r="B59" s="115">
        <v>19.025580000000001</v>
      </c>
      <c r="C59" s="116">
        <v>295</v>
      </c>
      <c r="D59" s="116">
        <v>12</v>
      </c>
      <c r="E59" s="116">
        <v>300</v>
      </c>
      <c r="F59" s="116">
        <v>600</v>
      </c>
      <c r="G59" s="106">
        <v>553</v>
      </c>
      <c r="H59" s="105">
        <v>17.833333333333332</v>
      </c>
      <c r="I59" s="116">
        <v>8</v>
      </c>
      <c r="J59" s="105">
        <f t="shared" si="0"/>
        <v>602.88</v>
      </c>
      <c r="K59">
        <f t="shared" si="1"/>
        <v>5.1308936170212762</v>
      </c>
      <c r="L59">
        <f t="shared" si="2"/>
        <v>3.3493333333333335E-3</v>
      </c>
      <c r="M59" s="116">
        <v>43</v>
      </c>
      <c r="N59" s="119">
        <v>0.31</v>
      </c>
    </row>
    <row r="60" spans="1:14" ht="15.6" x14ac:dyDescent="0.3">
      <c r="A60" s="105">
        <v>59</v>
      </c>
      <c r="B60" s="115">
        <v>19.025580000000001</v>
      </c>
      <c r="C60" s="116">
        <v>343</v>
      </c>
      <c r="D60" s="116">
        <v>12</v>
      </c>
      <c r="E60" s="116">
        <v>300</v>
      </c>
      <c r="F60" s="116">
        <v>600</v>
      </c>
      <c r="G60" s="106">
        <v>553</v>
      </c>
      <c r="H60" s="105">
        <v>17.833333333333332</v>
      </c>
      <c r="I60" s="116">
        <v>8</v>
      </c>
      <c r="J60" s="105">
        <f t="shared" si="0"/>
        <v>602.88</v>
      </c>
      <c r="K60">
        <f t="shared" si="1"/>
        <v>5.1308936170212762</v>
      </c>
      <c r="L60">
        <f t="shared" si="2"/>
        <v>3.3493333333333335E-3</v>
      </c>
      <c r="M60" s="116">
        <v>43</v>
      </c>
      <c r="N60" s="119">
        <v>0.38</v>
      </c>
    </row>
    <row r="61" spans="1:14" ht="15.6" x14ac:dyDescent="0.3">
      <c r="A61" s="105">
        <v>60</v>
      </c>
      <c r="B61" s="115">
        <v>19.025580000000001</v>
      </c>
      <c r="C61" s="116">
        <v>392</v>
      </c>
      <c r="D61" s="116">
        <v>12</v>
      </c>
      <c r="E61" s="116">
        <v>300</v>
      </c>
      <c r="F61" s="116">
        <v>600</v>
      </c>
      <c r="G61" s="106">
        <v>553</v>
      </c>
      <c r="H61" s="105">
        <v>17.833333333333332</v>
      </c>
      <c r="I61" s="116">
        <v>8</v>
      </c>
      <c r="J61" s="105">
        <f t="shared" si="0"/>
        <v>602.88</v>
      </c>
      <c r="K61">
        <f t="shared" si="1"/>
        <v>5.1308936170212762</v>
      </c>
      <c r="L61">
        <f t="shared" si="2"/>
        <v>3.3493333333333335E-3</v>
      </c>
      <c r="M61" s="116">
        <v>43</v>
      </c>
      <c r="N61" s="119">
        <v>0.51</v>
      </c>
    </row>
    <row r="62" spans="1:14" ht="15.6" x14ac:dyDescent="0.3">
      <c r="A62" s="105">
        <v>61</v>
      </c>
      <c r="B62" s="115">
        <v>18.535230000000002</v>
      </c>
      <c r="C62" s="116">
        <v>245</v>
      </c>
      <c r="D62" s="116">
        <v>12</v>
      </c>
      <c r="E62" s="116">
        <v>300</v>
      </c>
      <c r="F62" s="116">
        <v>600</v>
      </c>
      <c r="G62" s="106">
        <v>563</v>
      </c>
      <c r="H62" s="105">
        <v>19.5</v>
      </c>
      <c r="I62" s="116">
        <v>8</v>
      </c>
      <c r="J62" s="105">
        <f t="shared" si="0"/>
        <v>602.88</v>
      </c>
      <c r="K62">
        <f t="shared" si="1"/>
        <v>6.5176216216216218</v>
      </c>
      <c r="L62">
        <f t="shared" si="2"/>
        <v>3.3493333333333335E-3</v>
      </c>
      <c r="M62" s="116">
        <v>33</v>
      </c>
      <c r="N62" s="119">
        <v>0.27</v>
      </c>
    </row>
    <row r="63" spans="1:14" ht="15.6" x14ac:dyDescent="0.3">
      <c r="A63" s="105">
        <v>62</v>
      </c>
      <c r="B63" s="115">
        <v>18.535230000000002</v>
      </c>
      <c r="C63" s="116">
        <v>295</v>
      </c>
      <c r="D63" s="116">
        <v>12</v>
      </c>
      <c r="E63" s="116">
        <v>300</v>
      </c>
      <c r="F63" s="116">
        <v>600</v>
      </c>
      <c r="G63" s="106">
        <v>563</v>
      </c>
      <c r="H63" s="106">
        <v>19.5</v>
      </c>
      <c r="I63" s="116">
        <v>8</v>
      </c>
      <c r="J63" s="105">
        <f t="shared" si="0"/>
        <v>602.88</v>
      </c>
      <c r="K63">
        <f t="shared" si="1"/>
        <v>6.5176216216216218</v>
      </c>
      <c r="L63">
        <f t="shared" si="2"/>
        <v>3.3493333333333335E-3</v>
      </c>
      <c r="M63" s="116">
        <v>33</v>
      </c>
      <c r="N63" s="119">
        <v>0.32</v>
      </c>
    </row>
    <row r="64" spans="1:14" ht="15.6" x14ac:dyDescent="0.3">
      <c r="A64" s="105">
        <v>63</v>
      </c>
      <c r="B64" s="115">
        <v>18.535230000000002</v>
      </c>
      <c r="C64" s="116">
        <v>343</v>
      </c>
      <c r="D64" s="116">
        <v>12</v>
      </c>
      <c r="E64" s="116">
        <v>300</v>
      </c>
      <c r="F64" s="116">
        <v>600</v>
      </c>
      <c r="G64" s="106">
        <v>563</v>
      </c>
      <c r="H64" s="106">
        <v>19.5</v>
      </c>
      <c r="I64" s="116">
        <v>8</v>
      </c>
      <c r="J64" s="105">
        <f t="shared" si="0"/>
        <v>602.88</v>
      </c>
      <c r="K64">
        <f t="shared" si="1"/>
        <v>6.5176216216216218</v>
      </c>
      <c r="L64">
        <f t="shared" si="2"/>
        <v>3.3493333333333335E-3</v>
      </c>
      <c r="M64" s="116">
        <v>33</v>
      </c>
      <c r="N64" s="119">
        <v>0.46</v>
      </c>
    </row>
    <row r="65" spans="1:14" ht="15.6" x14ac:dyDescent="0.3">
      <c r="A65" s="105">
        <v>64</v>
      </c>
      <c r="B65" s="115">
        <v>18.535230000000002</v>
      </c>
      <c r="C65" s="116">
        <v>392</v>
      </c>
      <c r="D65" s="116">
        <v>12</v>
      </c>
      <c r="E65" s="116">
        <v>300</v>
      </c>
      <c r="F65" s="116">
        <v>600</v>
      </c>
      <c r="G65" s="106">
        <v>563</v>
      </c>
      <c r="H65" s="106">
        <v>19.5</v>
      </c>
      <c r="I65" s="116">
        <v>8</v>
      </c>
      <c r="J65" s="105">
        <f t="shared" si="0"/>
        <v>602.88</v>
      </c>
      <c r="K65">
        <f t="shared" si="1"/>
        <v>6.5176216216216218</v>
      </c>
      <c r="L65">
        <f t="shared" si="2"/>
        <v>3.3493333333333335E-3</v>
      </c>
      <c r="M65" s="116">
        <v>33</v>
      </c>
      <c r="N65" s="119">
        <v>0.64</v>
      </c>
    </row>
    <row r="66" spans="1:14" ht="15.6" x14ac:dyDescent="0.3">
      <c r="A66" s="105">
        <v>65</v>
      </c>
      <c r="B66" s="115">
        <v>17.75067</v>
      </c>
      <c r="C66" s="116">
        <v>245</v>
      </c>
      <c r="D66" s="116">
        <v>12</v>
      </c>
      <c r="E66" s="116">
        <v>300</v>
      </c>
      <c r="F66" s="116">
        <v>600</v>
      </c>
      <c r="G66" s="106">
        <v>553</v>
      </c>
      <c r="H66" s="105">
        <v>17.833333333333332</v>
      </c>
      <c r="I66" s="116">
        <v>8</v>
      </c>
      <c r="J66" s="105">
        <f t="shared" si="0"/>
        <v>602.88</v>
      </c>
      <c r="K66">
        <f t="shared" si="1"/>
        <v>5.1308936170212762</v>
      </c>
      <c r="L66">
        <f t="shared" si="2"/>
        <v>3.3493333333333335E-3</v>
      </c>
      <c r="M66" s="116">
        <v>43</v>
      </c>
      <c r="N66" s="119">
        <v>0.28000000000000003</v>
      </c>
    </row>
    <row r="67" spans="1:14" ht="15.6" x14ac:dyDescent="0.3">
      <c r="A67" s="105">
        <v>66</v>
      </c>
      <c r="B67" s="115">
        <v>17.75067</v>
      </c>
      <c r="C67" s="116">
        <v>295</v>
      </c>
      <c r="D67" s="116">
        <v>12</v>
      </c>
      <c r="E67" s="116">
        <v>300</v>
      </c>
      <c r="F67" s="116">
        <v>600</v>
      </c>
      <c r="G67" s="106">
        <v>553</v>
      </c>
      <c r="H67" s="105">
        <v>17.833333333333332</v>
      </c>
      <c r="I67" s="116">
        <v>8</v>
      </c>
      <c r="J67" s="105">
        <f t="shared" ref="J67:J130" si="3">D67*(3.14/4)*I67*I67</f>
        <v>602.88</v>
      </c>
      <c r="K67">
        <f t="shared" ref="K67:K130" si="4">J67/(2.5*(F67-G67))</f>
        <v>5.1308936170212762</v>
      </c>
      <c r="L67">
        <f t="shared" ref="L67:L130" si="5">J67/(E67*F67)</f>
        <v>3.3493333333333335E-3</v>
      </c>
      <c r="M67" s="116">
        <v>43</v>
      </c>
      <c r="N67" s="119">
        <v>0.37</v>
      </c>
    </row>
    <row r="68" spans="1:14" ht="15.6" x14ac:dyDescent="0.3">
      <c r="A68" s="105">
        <v>67</v>
      </c>
      <c r="B68" s="115">
        <v>17.75067</v>
      </c>
      <c r="C68" s="116">
        <v>343</v>
      </c>
      <c r="D68" s="116">
        <v>12</v>
      </c>
      <c r="E68" s="116">
        <v>300</v>
      </c>
      <c r="F68" s="116">
        <v>600</v>
      </c>
      <c r="G68" s="106">
        <v>553</v>
      </c>
      <c r="H68" s="105">
        <v>17.833333333333332</v>
      </c>
      <c r="I68" s="116">
        <v>8</v>
      </c>
      <c r="J68" s="105">
        <f t="shared" si="3"/>
        <v>602.88</v>
      </c>
      <c r="K68">
        <f t="shared" si="4"/>
        <v>5.1308936170212762</v>
      </c>
      <c r="L68">
        <f t="shared" si="5"/>
        <v>3.3493333333333335E-3</v>
      </c>
      <c r="M68" s="116">
        <v>43</v>
      </c>
      <c r="N68" s="119">
        <v>0.46</v>
      </c>
    </row>
    <row r="69" spans="1:14" ht="15.6" x14ac:dyDescent="0.3">
      <c r="A69" s="105">
        <v>68</v>
      </c>
      <c r="B69" s="115">
        <v>17.75067</v>
      </c>
      <c r="C69" s="116">
        <v>392</v>
      </c>
      <c r="D69" s="116">
        <v>12</v>
      </c>
      <c r="E69" s="116">
        <v>300</v>
      </c>
      <c r="F69" s="116">
        <v>600</v>
      </c>
      <c r="G69" s="106">
        <v>553</v>
      </c>
      <c r="H69" s="105">
        <v>17.833333333333332</v>
      </c>
      <c r="I69" s="116">
        <v>8</v>
      </c>
      <c r="J69" s="105">
        <f t="shared" si="3"/>
        <v>602.88</v>
      </c>
      <c r="K69">
        <f t="shared" si="4"/>
        <v>5.1308936170212762</v>
      </c>
      <c r="L69">
        <f t="shared" si="5"/>
        <v>3.3493333333333335E-3</v>
      </c>
      <c r="M69" s="116">
        <v>43</v>
      </c>
      <c r="N69" s="119">
        <v>0.62</v>
      </c>
    </row>
    <row r="70" spans="1:14" ht="15.6" x14ac:dyDescent="0.3">
      <c r="A70" s="105">
        <v>69</v>
      </c>
      <c r="B70" s="115">
        <v>16.279620000000001</v>
      </c>
      <c r="C70" s="116">
        <v>245</v>
      </c>
      <c r="D70" s="116">
        <v>12</v>
      </c>
      <c r="E70" s="116">
        <v>300</v>
      </c>
      <c r="F70" s="116">
        <v>600</v>
      </c>
      <c r="G70" s="106">
        <v>563</v>
      </c>
      <c r="H70" s="105">
        <v>19.5</v>
      </c>
      <c r="I70" s="116">
        <v>8</v>
      </c>
      <c r="J70" s="105">
        <f t="shared" si="3"/>
        <v>602.88</v>
      </c>
      <c r="K70">
        <f t="shared" si="4"/>
        <v>6.5176216216216218</v>
      </c>
      <c r="L70">
        <f t="shared" si="5"/>
        <v>3.3493333333333335E-3</v>
      </c>
      <c r="M70" s="116">
        <v>33</v>
      </c>
      <c r="N70" s="119">
        <v>0.31</v>
      </c>
    </row>
    <row r="71" spans="1:14" ht="15.6" x14ac:dyDescent="0.3">
      <c r="A71" s="105">
        <v>70</v>
      </c>
      <c r="B71" s="115">
        <v>16.279620000000001</v>
      </c>
      <c r="C71" s="116">
        <v>295</v>
      </c>
      <c r="D71" s="116">
        <v>12</v>
      </c>
      <c r="E71" s="116">
        <v>300</v>
      </c>
      <c r="F71" s="116">
        <v>600</v>
      </c>
      <c r="G71" s="106">
        <v>563</v>
      </c>
      <c r="H71" s="105">
        <v>19.5</v>
      </c>
      <c r="I71" s="116">
        <v>8</v>
      </c>
      <c r="J71" s="105">
        <f t="shared" si="3"/>
        <v>602.88</v>
      </c>
      <c r="K71">
        <f t="shared" si="4"/>
        <v>6.5176216216216218</v>
      </c>
      <c r="L71">
        <f t="shared" si="5"/>
        <v>3.3493333333333335E-3</v>
      </c>
      <c r="M71" s="116">
        <v>33</v>
      </c>
      <c r="N71" s="119">
        <v>0.4</v>
      </c>
    </row>
    <row r="72" spans="1:14" ht="15.6" x14ac:dyDescent="0.3">
      <c r="A72" s="105">
        <v>71</v>
      </c>
      <c r="B72" s="115">
        <v>16.279620000000001</v>
      </c>
      <c r="C72" s="116">
        <v>343</v>
      </c>
      <c r="D72" s="116">
        <v>12</v>
      </c>
      <c r="E72" s="116">
        <v>300</v>
      </c>
      <c r="F72" s="116">
        <v>600</v>
      </c>
      <c r="G72" s="106">
        <v>563</v>
      </c>
      <c r="H72" s="105">
        <v>19.5</v>
      </c>
      <c r="I72" s="116">
        <v>8</v>
      </c>
      <c r="J72" s="105">
        <f t="shared" si="3"/>
        <v>602.88</v>
      </c>
      <c r="K72">
        <f t="shared" si="4"/>
        <v>6.5176216216216218</v>
      </c>
      <c r="L72">
        <f t="shared" si="5"/>
        <v>3.3493333333333335E-3</v>
      </c>
      <c r="M72" s="116">
        <v>33</v>
      </c>
      <c r="N72" s="119">
        <v>0.49</v>
      </c>
    </row>
    <row r="73" spans="1:14" ht="15.6" x14ac:dyDescent="0.3">
      <c r="A73" s="105">
        <v>72</v>
      </c>
      <c r="B73" s="115">
        <v>16.279620000000001</v>
      </c>
      <c r="C73" s="116">
        <v>392</v>
      </c>
      <c r="D73" s="116">
        <v>12</v>
      </c>
      <c r="E73" s="116">
        <v>300</v>
      </c>
      <c r="F73" s="116">
        <v>600</v>
      </c>
      <c r="G73" s="106">
        <v>563</v>
      </c>
      <c r="H73" s="105">
        <v>19.5</v>
      </c>
      <c r="I73" s="116">
        <v>8</v>
      </c>
      <c r="J73" s="105">
        <f t="shared" si="3"/>
        <v>602.88</v>
      </c>
      <c r="K73">
        <f t="shared" si="4"/>
        <v>6.5176216216216218</v>
      </c>
      <c r="L73">
        <f t="shared" si="5"/>
        <v>3.3493333333333335E-3</v>
      </c>
      <c r="M73" s="116">
        <v>33</v>
      </c>
      <c r="N73" s="119">
        <v>0.61</v>
      </c>
    </row>
    <row r="74" spans="1:14" ht="15.6" x14ac:dyDescent="0.3">
      <c r="A74" s="105">
        <v>73</v>
      </c>
      <c r="B74" s="115">
        <v>19.90821</v>
      </c>
      <c r="C74" s="116">
        <v>245</v>
      </c>
      <c r="D74" s="116">
        <v>12</v>
      </c>
      <c r="E74" s="116">
        <v>300</v>
      </c>
      <c r="F74" s="116">
        <v>600</v>
      </c>
      <c r="G74" s="106">
        <v>553</v>
      </c>
      <c r="H74" s="105">
        <v>17.833333333333332</v>
      </c>
      <c r="I74" s="116">
        <v>8</v>
      </c>
      <c r="J74" s="105">
        <f t="shared" si="3"/>
        <v>602.88</v>
      </c>
      <c r="K74">
        <f t="shared" si="4"/>
        <v>5.1308936170212762</v>
      </c>
      <c r="L74">
        <f t="shared" si="5"/>
        <v>3.3493333333333335E-3</v>
      </c>
      <c r="M74" s="116">
        <v>43</v>
      </c>
      <c r="N74" s="119">
        <v>0.3</v>
      </c>
    </row>
    <row r="75" spans="1:14" ht="15.6" x14ac:dyDescent="0.3">
      <c r="A75" s="105">
        <v>74</v>
      </c>
      <c r="B75" s="115">
        <v>19.90821</v>
      </c>
      <c r="C75" s="116">
        <v>295</v>
      </c>
      <c r="D75" s="116">
        <v>12</v>
      </c>
      <c r="E75" s="116">
        <v>300</v>
      </c>
      <c r="F75" s="116">
        <v>600</v>
      </c>
      <c r="G75" s="106">
        <v>553</v>
      </c>
      <c r="H75" s="105">
        <v>17.833333333333332</v>
      </c>
      <c r="I75" s="116">
        <v>8</v>
      </c>
      <c r="J75" s="105">
        <f t="shared" si="3"/>
        <v>602.88</v>
      </c>
      <c r="K75">
        <f t="shared" si="4"/>
        <v>5.1308936170212762</v>
      </c>
      <c r="L75">
        <f t="shared" si="5"/>
        <v>3.3493333333333335E-3</v>
      </c>
      <c r="M75" s="116">
        <v>43</v>
      </c>
      <c r="N75" s="119">
        <v>0.37</v>
      </c>
    </row>
    <row r="76" spans="1:14" ht="15.6" x14ac:dyDescent="0.3">
      <c r="A76" s="105">
        <v>75</v>
      </c>
      <c r="B76" s="115">
        <v>19.90821</v>
      </c>
      <c r="C76" s="116">
        <v>343</v>
      </c>
      <c r="D76" s="116">
        <v>12</v>
      </c>
      <c r="E76" s="116">
        <v>300</v>
      </c>
      <c r="F76" s="116">
        <v>600</v>
      </c>
      <c r="G76" s="106">
        <v>553</v>
      </c>
      <c r="H76" s="105">
        <v>17.833333333333332</v>
      </c>
      <c r="I76" s="116">
        <v>8</v>
      </c>
      <c r="J76" s="105">
        <f t="shared" si="3"/>
        <v>602.88</v>
      </c>
      <c r="K76">
        <f t="shared" si="4"/>
        <v>5.1308936170212762</v>
      </c>
      <c r="L76">
        <f t="shared" si="5"/>
        <v>3.3493333333333335E-3</v>
      </c>
      <c r="M76" s="116">
        <v>43</v>
      </c>
      <c r="N76" s="119">
        <v>0.43</v>
      </c>
    </row>
    <row r="77" spans="1:14" ht="15.6" x14ac:dyDescent="0.3">
      <c r="A77" s="105">
        <v>76</v>
      </c>
      <c r="B77" s="115">
        <v>19.90821</v>
      </c>
      <c r="C77" s="116">
        <v>392</v>
      </c>
      <c r="D77" s="116">
        <v>12</v>
      </c>
      <c r="E77" s="116">
        <v>300</v>
      </c>
      <c r="F77" s="116">
        <v>600</v>
      </c>
      <c r="G77" s="106">
        <v>553</v>
      </c>
      <c r="H77" s="105">
        <v>17.833333333333332</v>
      </c>
      <c r="I77" s="116">
        <v>8</v>
      </c>
      <c r="J77" s="105">
        <f t="shared" si="3"/>
        <v>602.88</v>
      </c>
      <c r="K77">
        <f t="shared" si="4"/>
        <v>5.1308936170212762</v>
      </c>
      <c r="L77">
        <f t="shared" si="5"/>
        <v>3.3493333333333335E-3</v>
      </c>
      <c r="M77" s="116">
        <v>43</v>
      </c>
      <c r="N77" s="119">
        <v>0.52</v>
      </c>
    </row>
    <row r="78" spans="1:14" ht="15.6" x14ac:dyDescent="0.3">
      <c r="A78" s="105">
        <v>77</v>
      </c>
      <c r="B78" s="115">
        <v>19.319790000000001</v>
      </c>
      <c r="C78" s="116">
        <v>245</v>
      </c>
      <c r="D78" s="116">
        <v>12</v>
      </c>
      <c r="E78" s="116">
        <v>300</v>
      </c>
      <c r="F78" s="116">
        <v>600</v>
      </c>
      <c r="G78" s="106">
        <v>563</v>
      </c>
      <c r="H78" s="105">
        <v>19.5</v>
      </c>
      <c r="I78" s="116">
        <v>8</v>
      </c>
      <c r="J78" s="105">
        <f t="shared" si="3"/>
        <v>602.88</v>
      </c>
      <c r="K78">
        <f t="shared" si="4"/>
        <v>6.5176216216216218</v>
      </c>
      <c r="L78">
        <f t="shared" si="5"/>
        <v>3.3493333333333335E-3</v>
      </c>
      <c r="M78" s="116">
        <v>33</v>
      </c>
      <c r="N78" s="119">
        <v>0.18</v>
      </c>
    </row>
    <row r="79" spans="1:14" ht="15.6" x14ac:dyDescent="0.3">
      <c r="A79" s="105">
        <v>78</v>
      </c>
      <c r="B79" s="115">
        <v>19.319790000000001</v>
      </c>
      <c r="C79" s="116">
        <v>295</v>
      </c>
      <c r="D79" s="116">
        <v>12</v>
      </c>
      <c r="E79" s="116">
        <v>300</v>
      </c>
      <c r="F79" s="116">
        <v>600</v>
      </c>
      <c r="G79" s="106">
        <v>563</v>
      </c>
      <c r="H79" s="106">
        <v>19.5</v>
      </c>
      <c r="I79" s="116">
        <v>8</v>
      </c>
      <c r="J79" s="105">
        <f t="shared" si="3"/>
        <v>602.88</v>
      </c>
      <c r="K79">
        <f t="shared" si="4"/>
        <v>6.5176216216216218</v>
      </c>
      <c r="L79">
        <f t="shared" si="5"/>
        <v>3.3493333333333335E-3</v>
      </c>
      <c r="M79" s="116">
        <v>33</v>
      </c>
      <c r="N79" s="119">
        <v>0.22</v>
      </c>
    </row>
    <row r="80" spans="1:14" ht="15.6" x14ac:dyDescent="0.3">
      <c r="A80" s="105">
        <v>79</v>
      </c>
      <c r="B80" s="115">
        <v>19.319790000000001</v>
      </c>
      <c r="C80" s="116">
        <v>343</v>
      </c>
      <c r="D80" s="116">
        <v>12</v>
      </c>
      <c r="E80" s="116">
        <v>300</v>
      </c>
      <c r="F80" s="116">
        <v>600</v>
      </c>
      <c r="G80" s="106">
        <v>563</v>
      </c>
      <c r="H80" s="106">
        <v>19.5</v>
      </c>
      <c r="I80" s="116">
        <v>8</v>
      </c>
      <c r="J80" s="105">
        <f t="shared" si="3"/>
        <v>602.88</v>
      </c>
      <c r="K80">
        <f t="shared" si="4"/>
        <v>6.5176216216216218</v>
      </c>
      <c r="L80">
        <f t="shared" si="5"/>
        <v>3.3493333333333335E-3</v>
      </c>
      <c r="M80" s="116">
        <v>33</v>
      </c>
      <c r="N80" s="119">
        <v>0.27</v>
      </c>
    </row>
    <row r="81" spans="1:15" ht="15.6" x14ac:dyDescent="0.3">
      <c r="A81" s="105">
        <v>80</v>
      </c>
      <c r="B81" s="115">
        <v>19.319790000000001</v>
      </c>
      <c r="C81" s="116">
        <v>392</v>
      </c>
      <c r="D81" s="116">
        <v>12</v>
      </c>
      <c r="E81" s="116">
        <v>300</v>
      </c>
      <c r="F81" s="116">
        <v>600</v>
      </c>
      <c r="G81" s="106">
        <v>563</v>
      </c>
      <c r="H81" s="106">
        <v>19.5</v>
      </c>
      <c r="I81" s="116">
        <v>8</v>
      </c>
      <c r="J81" s="105">
        <f t="shared" si="3"/>
        <v>602.88</v>
      </c>
      <c r="K81">
        <f t="shared" si="4"/>
        <v>6.5176216216216218</v>
      </c>
      <c r="L81">
        <f t="shared" si="5"/>
        <v>3.3493333333333335E-3</v>
      </c>
      <c r="M81" s="116">
        <v>33</v>
      </c>
      <c r="N81" s="119">
        <v>0.34</v>
      </c>
    </row>
    <row r="82" spans="1:15" ht="15.6" x14ac:dyDescent="0.3">
      <c r="A82" s="105">
        <v>81</v>
      </c>
      <c r="B82" s="115">
        <v>18.241020000000002</v>
      </c>
      <c r="C82" s="116">
        <v>245</v>
      </c>
      <c r="D82" s="116">
        <v>12</v>
      </c>
      <c r="E82" s="116">
        <v>300</v>
      </c>
      <c r="F82" s="116">
        <v>600</v>
      </c>
      <c r="G82" s="106">
        <v>553</v>
      </c>
      <c r="H82" s="105">
        <v>17.833333333333332</v>
      </c>
      <c r="I82" s="116">
        <v>8</v>
      </c>
      <c r="J82" s="105">
        <f t="shared" si="3"/>
        <v>602.88</v>
      </c>
      <c r="K82">
        <f t="shared" si="4"/>
        <v>5.1308936170212762</v>
      </c>
      <c r="L82">
        <f t="shared" si="5"/>
        <v>3.3493333333333335E-3</v>
      </c>
      <c r="M82" s="116">
        <v>43</v>
      </c>
      <c r="N82" s="119">
        <v>0.25</v>
      </c>
    </row>
    <row r="83" spans="1:15" ht="15.6" x14ac:dyDescent="0.3">
      <c r="A83" s="105">
        <v>82</v>
      </c>
      <c r="B83" s="115">
        <v>18.241020000000002</v>
      </c>
      <c r="C83" s="116">
        <v>295</v>
      </c>
      <c r="D83" s="116">
        <v>12</v>
      </c>
      <c r="E83" s="116">
        <v>300</v>
      </c>
      <c r="F83" s="116">
        <v>600</v>
      </c>
      <c r="G83" s="106">
        <v>553</v>
      </c>
      <c r="H83" s="105">
        <v>17.833333333333332</v>
      </c>
      <c r="I83" s="116">
        <v>8</v>
      </c>
      <c r="J83" s="105">
        <f t="shared" si="3"/>
        <v>602.88</v>
      </c>
      <c r="K83">
        <f t="shared" si="4"/>
        <v>5.1308936170212762</v>
      </c>
      <c r="L83">
        <f t="shared" si="5"/>
        <v>3.3493333333333335E-3</v>
      </c>
      <c r="M83" s="116">
        <v>43</v>
      </c>
      <c r="N83" s="119">
        <v>0.31</v>
      </c>
    </row>
    <row r="84" spans="1:15" ht="15.6" x14ac:dyDescent="0.3">
      <c r="A84" s="105">
        <v>83</v>
      </c>
      <c r="B84" s="115">
        <v>18.241020000000002</v>
      </c>
      <c r="C84" s="116">
        <v>343</v>
      </c>
      <c r="D84" s="116">
        <v>12</v>
      </c>
      <c r="E84" s="116">
        <v>300</v>
      </c>
      <c r="F84" s="116">
        <v>600</v>
      </c>
      <c r="G84" s="106">
        <v>553</v>
      </c>
      <c r="H84" s="105">
        <v>17.833333333333332</v>
      </c>
      <c r="I84" s="116">
        <v>8</v>
      </c>
      <c r="J84" s="105">
        <f t="shared" si="3"/>
        <v>602.88</v>
      </c>
      <c r="K84">
        <f t="shared" si="4"/>
        <v>5.1308936170212762</v>
      </c>
      <c r="L84">
        <f t="shared" si="5"/>
        <v>3.3493333333333335E-3</v>
      </c>
      <c r="M84" s="116">
        <v>43</v>
      </c>
      <c r="N84" s="119">
        <v>0.37</v>
      </c>
    </row>
    <row r="85" spans="1:15" ht="15.6" x14ac:dyDescent="0.3">
      <c r="A85" s="105">
        <v>84</v>
      </c>
      <c r="B85" s="115">
        <v>18.241020000000002</v>
      </c>
      <c r="C85" s="116">
        <v>392</v>
      </c>
      <c r="D85" s="116">
        <v>12</v>
      </c>
      <c r="E85" s="116">
        <v>300</v>
      </c>
      <c r="F85" s="116">
        <v>600</v>
      </c>
      <c r="G85" s="106">
        <v>553</v>
      </c>
      <c r="H85" s="105">
        <v>17.833333333333332</v>
      </c>
      <c r="I85" s="116">
        <v>8</v>
      </c>
      <c r="J85" s="105">
        <f t="shared" si="3"/>
        <v>602.88</v>
      </c>
      <c r="K85">
        <f t="shared" si="4"/>
        <v>5.1308936170212762</v>
      </c>
      <c r="L85">
        <f t="shared" si="5"/>
        <v>3.3493333333333335E-3</v>
      </c>
      <c r="M85" s="116">
        <v>43</v>
      </c>
      <c r="N85" s="119">
        <v>0.45</v>
      </c>
    </row>
    <row r="86" spans="1:15" ht="15.6" x14ac:dyDescent="0.3">
      <c r="A86" s="105">
        <v>85</v>
      </c>
      <c r="B86" s="115">
        <v>19.712070000000001</v>
      </c>
      <c r="C86" s="116">
        <v>245</v>
      </c>
      <c r="D86" s="116">
        <v>12</v>
      </c>
      <c r="E86" s="116">
        <v>300</v>
      </c>
      <c r="F86" s="116">
        <v>600</v>
      </c>
      <c r="G86" s="106">
        <v>553</v>
      </c>
      <c r="H86" s="105">
        <v>17.833333333333332</v>
      </c>
      <c r="I86" s="116">
        <v>8</v>
      </c>
      <c r="J86" s="105">
        <f t="shared" si="3"/>
        <v>602.88</v>
      </c>
      <c r="K86">
        <f t="shared" si="4"/>
        <v>5.1308936170212762</v>
      </c>
      <c r="L86">
        <f t="shared" si="5"/>
        <v>3.3493333333333335E-3</v>
      </c>
      <c r="M86" s="116">
        <v>43</v>
      </c>
      <c r="N86" s="119">
        <v>0.27</v>
      </c>
    </row>
    <row r="87" spans="1:15" ht="15.6" x14ac:dyDescent="0.3">
      <c r="A87" s="105">
        <v>86</v>
      </c>
      <c r="B87" s="115">
        <v>19.712070000000001</v>
      </c>
      <c r="C87" s="116">
        <v>295</v>
      </c>
      <c r="D87" s="116">
        <v>12</v>
      </c>
      <c r="E87" s="116">
        <v>300</v>
      </c>
      <c r="F87" s="116">
        <v>600</v>
      </c>
      <c r="G87" s="106">
        <v>553</v>
      </c>
      <c r="H87" s="105">
        <v>17.833333333333332</v>
      </c>
      <c r="I87" s="116">
        <v>8</v>
      </c>
      <c r="J87" s="105">
        <f t="shared" si="3"/>
        <v>602.88</v>
      </c>
      <c r="K87">
        <f t="shared" si="4"/>
        <v>5.1308936170212762</v>
      </c>
      <c r="L87">
        <f t="shared" si="5"/>
        <v>3.3493333333333335E-3</v>
      </c>
      <c r="M87" s="116">
        <v>43</v>
      </c>
      <c r="N87" s="119">
        <v>0.32</v>
      </c>
    </row>
    <row r="88" spans="1:15" ht="15.6" x14ac:dyDescent="0.3">
      <c r="A88" s="105">
        <v>87</v>
      </c>
      <c r="B88" s="115">
        <v>19.712070000000001</v>
      </c>
      <c r="C88" s="116">
        <v>343</v>
      </c>
      <c r="D88" s="116">
        <v>12</v>
      </c>
      <c r="E88" s="116">
        <v>300</v>
      </c>
      <c r="F88" s="116">
        <v>600</v>
      </c>
      <c r="G88" s="106">
        <v>553</v>
      </c>
      <c r="H88" s="105">
        <v>17.833333333333332</v>
      </c>
      <c r="I88" s="116">
        <v>8</v>
      </c>
      <c r="J88" s="105">
        <f t="shared" si="3"/>
        <v>602.88</v>
      </c>
      <c r="K88">
        <f t="shared" si="4"/>
        <v>5.1308936170212762</v>
      </c>
      <c r="L88">
        <f t="shared" si="5"/>
        <v>3.3493333333333335E-3</v>
      </c>
      <c r="M88" s="116">
        <v>43</v>
      </c>
      <c r="N88" s="119">
        <v>0.39</v>
      </c>
    </row>
    <row r="89" spans="1:15" ht="15.6" x14ac:dyDescent="0.3">
      <c r="A89" s="105">
        <v>88</v>
      </c>
      <c r="B89" s="115">
        <v>19.712070000000001</v>
      </c>
      <c r="C89" s="116">
        <v>392</v>
      </c>
      <c r="D89" s="116">
        <v>12</v>
      </c>
      <c r="E89" s="116">
        <v>300</v>
      </c>
      <c r="F89" s="116">
        <v>600</v>
      </c>
      <c r="G89" s="106">
        <v>553</v>
      </c>
      <c r="H89" s="105">
        <v>17.833333333333332</v>
      </c>
      <c r="I89" s="116">
        <v>8</v>
      </c>
      <c r="J89" s="105">
        <f t="shared" si="3"/>
        <v>602.88</v>
      </c>
      <c r="K89">
        <f t="shared" si="4"/>
        <v>5.1308936170212762</v>
      </c>
      <c r="L89">
        <f t="shared" si="5"/>
        <v>3.3493333333333335E-3</v>
      </c>
      <c r="M89" s="116">
        <v>43</v>
      </c>
      <c r="N89" s="119">
        <v>0.52</v>
      </c>
    </row>
    <row r="90" spans="1:15" ht="15.6" x14ac:dyDescent="0.3">
      <c r="A90" s="105">
        <v>89</v>
      </c>
      <c r="B90" s="115">
        <v>16.573830000000001</v>
      </c>
      <c r="C90" s="116">
        <v>245</v>
      </c>
      <c r="D90" s="116">
        <v>12</v>
      </c>
      <c r="E90" s="116">
        <v>300</v>
      </c>
      <c r="F90" s="116">
        <v>600</v>
      </c>
      <c r="G90" s="106">
        <v>553</v>
      </c>
      <c r="H90" s="105">
        <v>17.833333333333332</v>
      </c>
      <c r="I90" s="116">
        <v>8</v>
      </c>
      <c r="J90" s="105">
        <f t="shared" si="3"/>
        <v>602.88</v>
      </c>
      <c r="K90">
        <f t="shared" si="4"/>
        <v>5.1308936170212762</v>
      </c>
      <c r="L90">
        <f t="shared" si="5"/>
        <v>3.3493333333333335E-3</v>
      </c>
      <c r="M90" s="116">
        <v>43</v>
      </c>
      <c r="N90" s="119">
        <v>0.24</v>
      </c>
    </row>
    <row r="91" spans="1:15" ht="15.6" x14ac:dyDescent="0.3">
      <c r="A91" s="105">
        <v>90</v>
      </c>
      <c r="B91" s="115">
        <v>16.573830000000001</v>
      </c>
      <c r="C91" s="116">
        <v>295</v>
      </c>
      <c r="D91" s="116">
        <v>12</v>
      </c>
      <c r="E91" s="116">
        <v>300</v>
      </c>
      <c r="F91" s="116">
        <v>600</v>
      </c>
      <c r="G91" s="106">
        <v>553</v>
      </c>
      <c r="H91" s="105">
        <v>17.833333333333332</v>
      </c>
      <c r="I91" s="116">
        <v>8</v>
      </c>
      <c r="J91" s="105">
        <f t="shared" si="3"/>
        <v>602.88</v>
      </c>
      <c r="K91">
        <f t="shared" si="4"/>
        <v>5.1308936170212762</v>
      </c>
      <c r="L91">
        <f t="shared" si="5"/>
        <v>3.3493333333333335E-3</v>
      </c>
      <c r="M91" s="116">
        <v>43</v>
      </c>
      <c r="N91" s="119">
        <v>0.3</v>
      </c>
    </row>
    <row r="92" spans="1:15" ht="15.6" x14ac:dyDescent="0.3">
      <c r="A92" s="105">
        <v>91</v>
      </c>
      <c r="B92" s="115">
        <v>16.573830000000001</v>
      </c>
      <c r="C92" s="116">
        <v>343</v>
      </c>
      <c r="D92" s="116">
        <v>12</v>
      </c>
      <c r="E92" s="116">
        <v>300</v>
      </c>
      <c r="F92" s="116">
        <v>600</v>
      </c>
      <c r="G92" s="106">
        <v>553</v>
      </c>
      <c r="H92" s="105">
        <v>17.833333333333332</v>
      </c>
      <c r="I92" s="116">
        <v>8</v>
      </c>
      <c r="J92" s="105">
        <f t="shared" si="3"/>
        <v>602.88</v>
      </c>
      <c r="K92">
        <f t="shared" si="4"/>
        <v>5.1308936170212762</v>
      </c>
      <c r="L92">
        <f t="shared" si="5"/>
        <v>3.3493333333333335E-3</v>
      </c>
      <c r="M92" s="116">
        <v>43</v>
      </c>
      <c r="N92" s="119">
        <v>0.36</v>
      </c>
    </row>
    <row r="93" spans="1:15" ht="16.2" thickBot="1" x14ac:dyDescent="0.35">
      <c r="A93" s="105">
        <v>92</v>
      </c>
      <c r="B93" s="117">
        <v>16.573830000000001</v>
      </c>
      <c r="C93" s="118">
        <v>392</v>
      </c>
      <c r="D93" s="118">
        <v>12</v>
      </c>
      <c r="E93" s="118">
        <v>300</v>
      </c>
      <c r="F93" s="118">
        <v>600</v>
      </c>
      <c r="G93" s="106">
        <v>553</v>
      </c>
      <c r="H93" s="105">
        <v>17.833333333333332</v>
      </c>
      <c r="I93" s="118">
        <v>8</v>
      </c>
      <c r="J93" s="105">
        <f t="shared" si="3"/>
        <v>602.88</v>
      </c>
      <c r="K93">
        <f t="shared" si="4"/>
        <v>5.1308936170212762</v>
      </c>
      <c r="L93">
        <f t="shared" si="5"/>
        <v>3.3493333333333335E-3</v>
      </c>
      <c r="M93" s="118">
        <v>43</v>
      </c>
      <c r="N93" s="120">
        <v>0.44</v>
      </c>
    </row>
    <row r="94" spans="1:15" ht="15.6" x14ac:dyDescent="0.3">
      <c r="A94" s="105">
        <v>93</v>
      </c>
      <c r="B94" s="121">
        <v>12.860645287829755</v>
      </c>
      <c r="C94" s="122">
        <v>215</v>
      </c>
      <c r="D94" s="126">
        <v>2</v>
      </c>
      <c r="E94" s="122">
        <v>300</v>
      </c>
      <c r="F94" s="122">
        <v>625</v>
      </c>
      <c r="G94" s="106">
        <v>596</v>
      </c>
      <c r="H94" s="102">
        <v>131</v>
      </c>
      <c r="I94" s="126">
        <v>10</v>
      </c>
      <c r="J94" s="105">
        <f t="shared" si="3"/>
        <v>157</v>
      </c>
      <c r="K94">
        <f t="shared" si="4"/>
        <v>2.1655172413793102</v>
      </c>
      <c r="L94">
        <f t="shared" si="5"/>
        <v>8.3733333333333338E-4</v>
      </c>
      <c r="M94" s="122">
        <v>19</v>
      </c>
      <c r="N94">
        <v>0.25</v>
      </c>
      <c r="O94" t="s">
        <v>40</v>
      </c>
    </row>
    <row r="95" spans="1:15" ht="15.6" x14ac:dyDescent="0.3">
      <c r="A95" s="105">
        <v>94</v>
      </c>
      <c r="B95" s="121">
        <v>12.860645287829755</v>
      </c>
      <c r="C95" s="122">
        <v>269</v>
      </c>
      <c r="D95" s="126">
        <v>2</v>
      </c>
      <c r="E95" s="122">
        <v>300</v>
      </c>
      <c r="F95" s="122">
        <v>625</v>
      </c>
      <c r="G95" s="106">
        <v>596</v>
      </c>
      <c r="H95" s="102">
        <v>131</v>
      </c>
      <c r="I95" s="126">
        <v>10</v>
      </c>
      <c r="J95" s="106">
        <f t="shared" si="3"/>
        <v>157</v>
      </c>
      <c r="K95">
        <f t="shared" si="4"/>
        <v>2.1655172413793102</v>
      </c>
      <c r="L95">
        <f t="shared" si="5"/>
        <v>8.3733333333333338E-4</v>
      </c>
      <c r="M95" s="122">
        <v>19</v>
      </c>
      <c r="N95">
        <v>0.35</v>
      </c>
    </row>
    <row r="96" spans="1:15" ht="15.6" x14ac:dyDescent="0.3">
      <c r="A96" s="105">
        <v>95</v>
      </c>
      <c r="B96" s="121">
        <v>12.860645287829755</v>
      </c>
      <c r="C96" s="122">
        <v>323</v>
      </c>
      <c r="D96" s="126">
        <v>2</v>
      </c>
      <c r="E96" s="122">
        <v>300</v>
      </c>
      <c r="F96" s="122">
        <v>625</v>
      </c>
      <c r="G96" s="106">
        <v>596</v>
      </c>
      <c r="H96" s="102">
        <v>131</v>
      </c>
      <c r="I96" s="126">
        <v>10</v>
      </c>
      <c r="J96" s="106">
        <f t="shared" si="3"/>
        <v>157</v>
      </c>
      <c r="K96">
        <f t="shared" si="4"/>
        <v>2.1655172413793102</v>
      </c>
      <c r="L96">
        <f t="shared" si="5"/>
        <v>8.3733333333333338E-4</v>
      </c>
      <c r="M96" s="122">
        <v>19</v>
      </c>
      <c r="N96">
        <v>0.35</v>
      </c>
    </row>
    <row r="97" spans="1:14" ht="15.6" x14ac:dyDescent="0.3">
      <c r="A97" s="105">
        <v>96</v>
      </c>
      <c r="B97" s="121">
        <v>16.686280278513291</v>
      </c>
      <c r="C97" s="122">
        <v>200</v>
      </c>
      <c r="D97" s="126">
        <v>2</v>
      </c>
      <c r="E97" s="122">
        <v>300</v>
      </c>
      <c r="F97" s="122">
        <v>625</v>
      </c>
      <c r="G97" s="106">
        <v>599.5</v>
      </c>
      <c r="H97" s="102">
        <v>134.5</v>
      </c>
      <c r="I97" s="126">
        <v>10</v>
      </c>
      <c r="J97" s="106">
        <f t="shared" si="3"/>
        <v>157</v>
      </c>
      <c r="K97">
        <f t="shared" si="4"/>
        <v>2.4627450980392158</v>
      </c>
      <c r="L97">
        <f t="shared" si="5"/>
        <v>8.3733333333333338E-4</v>
      </c>
      <c r="M97" s="122">
        <v>15.5</v>
      </c>
      <c r="N97">
        <v>0.3</v>
      </c>
    </row>
    <row r="98" spans="1:14" ht="15.6" x14ac:dyDescent="0.3">
      <c r="A98" s="105">
        <v>97</v>
      </c>
      <c r="B98" s="121">
        <v>16.686280278513291</v>
      </c>
      <c r="C98" s="122">
        <v>250</v>
      </c>
      <c r="D98" s="126">
        <v>2</v>
      </c>
      <c r="E98" s="122">
        <v>300</v>
      </c>
      <c r="F98" s="122">
        <v>625</v>
      </c>
      <c r="G98" s="106">
        <v>599.5</v>
      </c>
      <c r="H98" s="102">
        <v>134.5</v>
      </c>
      <c r="I98" s="126">
        <v>10</v>
      </c>
      <c r="J98" s="106">
        <f t="shared" si="3"/>
        <v>157</v>
      </c>
      <c r="K98">
        <f t="shared" si="4"/>
        <v>2.4627450980392158</v>
      </c>
      <c r="L98">
        <f t="shared" si="5"/>
        <v>8.3733333333333338E-4</v>
      </c>
      <c r="M98" s="122">
        <v>15.5</v>
      </c>
      <c r="N98">
        <v>0.35</v>
      </c>
    </row>
    <row r="99" spans="1:14" ht="15.6" x14ac:dyDescent="0.3">
      <c r="A99" s="105">
        <v>98</v>
      </c>
      <c r="B99" s="121">
        <v>16.686280278513291</v>
      </c>
      <c r="C99" s="122">
        <v>300</v>
      </c>
      <c r="D99" s="126">
        <v>2</v>
      </c>
      <c r="E99" s="122">
        <v>300</v>
      </c>
      <c r="F99" s="122">
        <v>625</v>
      </c>
      <c r="G99" s="106">
        <v>599.5</v>
      </c>
      <c r="H99" s="102">
        <v>134.5</v>
      </c>
      <c r="I99" s="126">
        <v>10</v>
      </c>
      <c r="J99" s="106">
        <f t="shared" si="3"/>
        <v>157</v>
      </c>
      <c r="K99">
        <f t="shared" si="4"/>
        <v>2.4627450980392158</v>
      </c>
      <c r="L99">
        <f t="shared" si="5"/>
        <v>8.3733333333333338E-4</v>
      </c>
      <c r="M99" s="122">
        <v>15.5</v>
      </c>
      <c r="N99">
        <v>0.35</v>
      </c>
    </row>
    <row r="100" spans="1:14" ht="15.6" x14ac:dyDescent="0.3">
      <c r="A100" s="105">
        <v>99</v>
      </c>
      <c r="B100" s="121">
        <v>16.686280278513291</v>
      </c>
      <c r="C100" s="122">
        <v>350</v>
      </c>
      <c r="D100" s="126">
        <v>2</v>
      </c>
      <c r="E100" s="122">
        <v>300</v>
      </c>
      <c r="F100" s="122">
        <v>625</v>
      </c>
      <c r="G100" s="106">
        <v>599.5</v>
      </c>
      <c r="H100" s="102">
        <v>134.5</v>
      </c>
      <c r="I100" s="126">
        <v>10</v>
      </c>
      <c r="J100" s="106">
        <f t="shared" si="3"/>
        <v>157</v>
      </c>
      <c r="K100">
        <f t="shared" si="4"/>
        <v>2.4627450980392158</v>
      </c>
      <c r="L100">
        <f t="shared" si="5"/>
        <v>8.3733333333333338E-4</v>
      </c>
      <c r="M100" s="122">
        <v>15.5</v>
      </c>
      <c r="N100">
        <v>0.43</v>
      </c>
    </row>
    <row r="101" spans="1:14" ht="15.6" x14ac:dyDescent="0.3">
      <c r="A101" s="105">
        <v>100</v>
      </c>
      <c r="B101" s="123">
        <v>14.244385603608904</v>
      </c>
      <c r="C101" s="122">
        <v>200</v>
      </c>
      <c r="D101" s="126">
        <v>2</v>
      </c>
      <c r="E101" s="122">
        <v>300</v>
      </c>
      <c r="F101" s="122">
        <v>625</v>
      </c>
      <c r="G101" s="106">
        <v>599.5</v>
      </c>
      <c r="H101" s="102">
        <v>134.5</v>
      </c>
      <c r="I101" s="126">
        <v>10</v>
      </c>
      <c r="J101" s="106">
        <f t="shared" si="3"/>
        <v>157</v>
      </c>
      <c r="K101">
        <f t="shared" si="4"/>
        <v>2.4627450980392158</v>
      </c>
      <c r="L101">
        <f t="shared" si="5"/>
        <v>8.3733333333333338E-4</v>
      </c>
      <c r="M101" s="122">
        <v>15.5</v>
      </c>
      <c r="N101">
        <v>0.2</v>
      </c>
    </row>
    <row r="102" spans="1:14" ht="15.6" x14ac:dyDescent="0.3">
      <c r="A102" s="105">
        <v>101</v>
      </c>
      <c r="B102" s="123">
        <v>14.244385603608904</v>
      </c>
      <c r="C102" s="122">
        <v>250</v>
      </c>
      <c r="D102" s="126">
        <v>2</v>
      </c>
      <c r="E102" s="122">
        <v>300</v>
      </c>
      <c r="F102" s="122">
        <v>625</v>
      </c>
      <c r="G102" s="106">
        <v>599.5</v>
      </c>
      <c r="H102" s="102">
        <v>134.5</v>
      </c>
      <c r="I102" s="126">
        <v>10</v>
      </c>
      <c r="J102" s="106">
        <f t="shared" si="3"/>
        <v>157</v>
      </c>
      <c r="K102">
        <f t="shared" si="4"/>
        <v>2.4627450980392158</v>
      </c>
      <c r="L102">
        <f t="shared" si="5"/>
        <v>8.3733333333333338E-4</v>
      </c>
      <c r="M102" s="122">
        <v>15.5</v>
      </c>
      <c r="N102">
        <v>0.3</v>
      </c>
    </row>
    <row r="103" spans="1:14" ht="15.6" x14ac:dyDescent="0.3">
      <c r="A103" s="105">
        <v>102</v>
      </c>
      <c r="B103" s="123">
        <v>14.244385603608904</v>
      </c>
      <c r="C103" s="122">
        <v>300</v>
      </c>
      <c r="D103" s="126">
        <v>2</v>
      </c>
      <c r="E103" s="122">
        <v>300</v>
      </c>
      <c r="F103" s="122">
        <v>625</v>
      </c>
      <c r="G103" s="106">
        <v>599.5</v>
      </c>
      <c r="H103" s="102">
        <v>134.5</v>
      </c>
      <c r="I103" s="126">
        <v>10</v>
      </c>
      <c r="J103" s="106">
        <f t="shared" si="3"/>
        <v>157</v>
      </c>
      <c r="K103">
        <f t="shared" si="4"/>
        <v>2.4627450980392158</v>
      </c>
      <c r="L103">
        <f t="shared" si="5"/>
        <v>8.3733333333333338E-4</v>
      </c>
      <c r="M103" s="122">
        <v>15.5</v>
      </c>
      <c r="N103">
        <v>0.35</v>
      </c>
    </row>
    <row r="104" spans="1:14" ht="15.6" x14ac:dyDescent="0.3">
      <c r="A104" s="105">
        <v>103</v>
      </c>
      <c r="B104" s="123">
        <v>14.244385603608904</v>
      </c>
      <c r="C104" s="122">
        <v>350</v>
      </c>
      <c r="D104" s="126">
        <v>2</v>
      </c>
      <c r="E104" s="122">
        <v>300</v>
      </c>
      <c r="F104" s="122">
        <v>625</v>
      </c>
      <c r="G104" s="106">
        <v>599.5</v>
      </c>
      <c r="H104" s="102">
        <v>134.5</v>
      </c>
      <c r="I104" s="126">
        <v>10</v>
      </c>
      <c r="J104" s="106">
        <f t="shared" si="3"/>
        <v>157</v>
      </c>
      <c r="K104">
        <f t="shared" si="4"/>
        <v>2.4627450980392158</v>
      </c>
      <c r="L104">
        <f t="shared" si="5"/>
        <v>8.3733333333333338E-4</v>
      </c>
      <c r="M104" s="122">
        <v>15.5</v>
      </c>
      <c r="N104">
        <v>0.4</v>
      </c>
    </row>
    <row r="105" spans="1:14" ht="15.6" x14ac:dyDescent="0.3">
      <c r="A105" s="105">
        <v>104</v>
      </c>
      <c r="B105" s="123">
        <v>14.244385603608904</v>
      </c>
      <c r="C105" s="122">
        <v>400</v>
      </c>
      <c r="D105" s="126">
        <v>2</v>
      </c>
      <c r="E105" s="122">
        <v>300</v>
      </c>
      <c r="F105" s="122">
        <v>625</v>
      </c>
      <c r="G105" s="106">
        <v>599.5</v>
      </c>
      <c r="H105" s="102">
        <v>134.5</v>
      </c>
      <c r="I105" s="126">
        <v>10</v>
      </c>
      <c r="J105" s="106">
        <f t="shared" si="3"/>
        <v>157</v>
      </c>
      <c r="K105">
        <f t="shared" si="4"/>
        <v>2.4627450980392158</v>
      </c>
      <c r="L105">
        <f t="shared" si="5"/>
        <v>8.3733333333333338E-4</v>
      </c>
      <c r="M105" s="122">
        <v>15.5</v>
      </c>
      <c r="N105">
        <v>0.5</v>
      </c>
    </row>
    <row r="106" spans="1:14" ht="15.6" x14ac:dyDescent="0.3">
      <c r="A106" s="105">
        <v>105</v>
      </c>
      <c r="B106" s="123">
        <v>14.244385603608904</v>
      </c>
      <c r="C106" s="122">
        <v>200</v>
      </c>
      <c r="D106" s="126">
        <v>2</v>
      </c>
      <c r="E106" s="122">
        <v>300</v>
      </c>
      <c r="F106" s="122">
        <v>625</v>
      </c>
      <c r="G106" s="106">
        <v>597.5</v>
      </c>
      <c r="H106" s="102">
        <v>132.5</v>
      </c>
      <c r="I106" s="126">
        <v>10</v>
      </c>
      <c r="J106" s="106">
        <f t="shared" si="3"/>
        <v>157</v>
      </c>
      <c r="K106">
        <f t="shared" si="4"/>
        <v>2.2836363636363637</v>
      </c>
      <c r="L106">
        <f t="shared" si="5"/>
        <v>8.3733333333333338E-4</v>
      </c>
      <c r="M106" s="122">
        <v>17.5</v>
      </c>
      <c r="N106">
        <v>0.23</v>
      </c>
    </row>
    <row r="107" spans="1:14" ht="15.6" x14ac:dyDescent="0.3">
      <c r="A107" s="105">
        <v>106</v>
      </c>
      <c r="B107" s="123">
        <v>14.244385603608904</v>
      </c>
      <c r="C107" s="122">
        <v>250</v>
      </c>
      <c r="D107" s="126">
        <v>2</v>
      </c>
      <c r="E107" s="122">
        <v>300</v>
      </c>
      <c r="F107" s="122">
        <v>625</v>
      </c>
      <c r="G107" s="106">
        <v>597.5</v>
      </c>
      <c r="H107" s="102">
        <v>132.5</v>
      </c>
      <c r="I107" s="126">
        <v>10</v>
      </c>
      <c r="J107" s="106">
        <f t="shared" si="3"/>
        <v>157</v>
      </c>
      <c r="K107">
        <f t="shared" si="4"/>
        <v>2.2836363636363637</v>
      </c>
      <c r="L107">
        <f t="shared" si="5"/>
        <v>8.3733333333333338E-4</v>
      </c>
      <c r="M107" s="122">
        <v>17.5</v>
      </c>
      <c r="N107">
        <v>0.35</v>
      </c>
    </row>
    <row r="108" spans="1:14" ht="15.6" x14ac:dyDescent="0.3">
      <c r="A108" s="105">
        <v>107</v>
      </c>
      <c r="B108" s="123">
        <v>14.244385603608904</v>
      </c>
      <c r="C108" s="122">
        <v>300</v>
      </c>
      <c r="D108" s="126">
        <v>2</v>
      </c>
      <c r="E108" s="122">
        <v>300</v>
      </c>
      <c r="F108" s="122">
        <v>625</v>
      </c>
      <c r="G108" s="106">
        <v>597.5</v>
      </c>
      <c r="H108" s="102">
        <v>132.5</v>
      </c>
      <c r="I108" s="126">
        <v>10</v>
      </c>
      <c r="J108" s="106">
        <f t="shared" si="3"/>
        <v>157</v>
      </c>
      <c r="K108">
        <f t="shared" si="4"/>
        <v>2.2836363636363637</v>
      </c>
      <c r="L108">
        <f t="shared" si="5"/>
        <v>8.3733333333333338E-4</v>
      </c>
      <c r="M108" s="122">
        <v>17.5</v>
      </c>
      <c r="N108">
        <v>0.45</v>
      </c>
    </row>
    <row r="109" spans="1:14" ht="15.6" x14ac:dyDescent="0.3">
      <c r="A109" s="105">
        <v>108</v>
      </c>
      <c r="B109" s="123">
        <v>14.244385603608904</v>
      </c>
      <c r="C109" s="122">
        <v>350</v>
      </c>
      <c r="D109" s="126">
        <v>2</v>
      </c>
      <c r="E109" s="122">
        <v>300</v>
      </c>
      <c r="F109" s="122">
        <v>625</v>
      </c>
      <c r="G109" s="106">
        <v>597.5</v>
      </c>
      <c r="H109" s="102">
        <v>132.5</v>
      </c>
      <c r="I109" s="126">
        <v>10</v>
      </c>
      <c r="J109" s="106">
        <f t="shared" si="3"/>
        <v>157</v>
      </c>
      <c r="K109">
        <f t="shared" si="4"/>
        <v>2.2836363636363637</v>
      </c>
      <c r="L109">
        <f t="shared" si="5"/>
        <v>8.3733333333333338E-4</v>
      </c>
      <c r="M109" s="122">
        <v>17.5</v>
      </c>
      <c r="N109">
        <v>0.55000000000000004</v>
      </c>
    </row>
    <row r="110" spans="1:14" ht="15.6" x14ac:dyDescent="0.3">
      <c r="A110" s="105">
        <v>109</v>
      </c>
      <c r="B110" s="123">
        <v>14.244385603608904</v>
      </c>
      <c r="C110" s="122">
        <v>400</v>
      </c>
      <c r="D110" s="126">
        <v>2</v>
      </c>
      <c r="E110" s="122">
        <v>300</v>
      </c>
      <c r="F110" s="122">
        <v>625</v>
      </c>
      <c r="G110" s="106">
        <v>597.5</v>
      </c>
      <c r="H110" s="102">
        <v>132.5</v>
      </c>
      <c r="I110" s="126">
        <v>10</v>
      </c>
      <c r="J110" s="106">
        <f t="shared" si="3"/>
        <v>157</v>
      </c>
      <c r="K110">
        <f t="shared" si="4"/>
        <v>2.2836363636363637</v>
      </c>
      <c r="L110">
        <f t="shared" si="5"/>
        <v>8.3733333333333338E-4</v>
      </c>
      <c r="M110" s="122">
        <v>17.5</v>
      </c>
      <c r="N110">
        <v>0.67</v>
      </c>
    </row>
    <row r="111" spans="1:14" ht="15.6" x14ac:dyDescent="0.3">
      <c r="A111" s="105">
        <v>110</v>
      </c>
      <c r="B111" s="123">
        <v>13.837403157791508</v>
      </c>
      <c r="C111" s="122">
        <v>200</v>
      </c>
      <c r="D111" s="126">
        <v>2</v>
      </c>
      <c r="E111" s="122">
        <v>300</v>
      </c>
      <c r="F111" s="122">
        <v>625</v>
      </c>
      <c r="G111" s="106">
        <v>597</v>
      </c>
      <c r="H111" s="102">
        <v>132</v>
      </c>
      <c r="I111" s="126">
        <v>10</v>
      </c>
      <c r="J111" s="106">
        <f t="shared" si="3"/>
        <v>157</v>
      </c>
      <c r="K111">
        <f t="shared" si="4"/>
        <v>2.2428571428571429</v>
      </c>
      <c r="L111">
        <f t="shared" si="5"/>
        <v>8.3733333333333338E-4</v>
      </c>
      <c r="M111" s="122">
        <v>18</v>
      </c>
      <c r="N111">
        <v>0.25</v>
      </c>
    </row>
    <row r="112" spans="1:14" ht="15.6" x14ac:dyDescent="0.3">
      <c r="A112" s="105">
        <v>111</v>
      </c>
      <c r="B112" s="123">
        <v>13.837403157791508</v>
      </c>
      <c r="C112" s="122">
        <v>250</v>
      </c>
      <c r="D112" s="126">
        <v>2</v>
      </c>
      <c r="E112" s="122">
        <v>300</v>
      </c>
      <c r="F112" s="122">
        <v>625</v>
      </c>
      <c r="G112" s="106">
        <v>597</v>
      </c>
      <c r="H112" s="102">
        <v>132</v>
      </c>
      <c r="I112" s="126">
        <v>10</v>
      </c>
      <c r="J112" s="106">
        <f t="shared" si="3"/>
        <v>157</v>
      </c>
      <c r="K112">
        <f t="shared" si="4"/>
        <v>2.2428571428571429</v>
      </c>
      <c r="L112">
        <f t="shared" si="5"/>
        <v>8.3733333333333338E-4</v>
      </c>
      <c r="M112" s="122">
        <v>18</v>
      </c>
      <c r="N112">
        <v>0.33</v>
      </c>
    </row>
    <row r="113" spans="1:14" ht="15.6" x14ac:dyDescent="0.3">
      <c r="A113" s="105">
        <v>112</v>
      </c>
      <c r="B113" s="123">
        <v>13.837403157791508</v>
      </c>
      <c r="C113" s="122">
        <v>300</v>
      </c>
      <c r="D113" s="126">
        <v>2</v>
      </c>
      <c r="E113" s="122">
        <v>300</v>
      </c>
      <c r="F113" s="122">
        <v>625</v>
      </c>
      <c r="G113" s="106">
        <v>597</v>
      </c>
      <c r="H113" s="102">
        <v>132</v>
      </c>
      <c r="I113" s="126">
        <v>10</v>
      </c>
      <c r="J113" s="106">
        <f t="shared" si="3"/>
        <v>157</v>
      </c>
      <c r="K113">
        <f t="shared" si="4"/>
        <v>2.2428571428571429</v>
      </c>
      <c r="L113">
        <f t="shared" si="5"/>
        <v>8.3733333333333338E-4</v>
      </c>
      <c r="M113" s="122">
        <v>18</v>
      </c>
      <c r="N113">
        <v>0.4</v>
      </c>
    </row>
    <row r="114" spans="1:14" ht="15.6" x14ac:dyDescent="0.3">
      <c r="A114" s="105">
        <v>113</v>
      </c>
      <c r="B114" s="123">
        <v>13.837403157791508</v>
      </c>
      <c r="C114" s="122">
        <v>350</v>
      </c>
      <c r="D114" s="126">
        <v>2</v>
      </c>
      <c r="E114" s="122">
        <v>300</v>
      </c>
      <c r="F114" s="122">
        <v>625</v>
      </c>
      <c r="G114" s="106">
        <v>597</v>
      </c>
      <c r="H114" s="102">
        <v>132</v>
      </c>
      <c r="I114" s="126">
        <v>10</v>
      </c>
      <c r="J114" s="106">
        <f t="shared" si="3"/>
        <v>157</v>
      </c>
      <c r="K114">
        <f t="shared" si="4"/>
        <v>2.2428571428571429</v>
      </c>
      <c r="L114">
        <f t="shared" si="5"/>
        <v>8.3733333333333338E-4</v>
      </c>
      <c r="M114" s="122">
        <v>18</v>
      </c>
      <c r="N114">
        <v>0.45</v>
      </c>
    </row>
    <row r="115" spans="1:14" ht="15.6" x14ac:dyDescent="0.3">
      <c r="A115" s="105">
        <v>114</v>
      </c>
      <c r="B115" s="123">
        <v>13.837403157791508</v>
      </c>
      <c r="C115" s="122">
        <v>400</v>
      </c>
      <c r="D115" s="126">
        <v>2</v>
      </c>
      <c r="E115" s="122">
        <v>300</v>
      </c>
      <c r="F115" s="122">
        <v>625</v>
      </c>
      <c r="G115" s="106">
        <v>597</v>
      </c>
      <c r="H115" s="102">
        <v>132</v>
      </c>
      <c r="I115" s="126">
        <v>10</v>
      </c>
      <c r="J115" s="106">
        <f t="shared" si="3"/>
        <v>157</v>
      </c>
      <c r="K115">
        <f t="shared" si="4"/>
        <v>2.2428571428571429</v>
      </c>
      <c r="L115">
        <f t="shared" si="5"/>
        <v>8.3733333333333338E-4</v>
      </c>
      <c r="M115" s="122">
        <v>18</v>
      </c>
      <c r="N115">
        <v>0.55000000000000004</v>
      </c>
    </row>
    <row r="116" spans="1:14" ht="15.6" x14ac:dyDescent="0.3">
      <c r="A116" s="105">
        <v>115</v>
      </c>
      <c r="B116" s="123">
        <v>13.023438266156713</v>
      </c>
      <c r="C116" s="122">
        <v>200</v>
      </c>
      <c r="D116" s="126">
        <v>2</v>
      </c>
      <c r="E116" s="122">
        <v>300</v>
      </c>
      <c r="F116" s="122">
        <v>625</v>
      </c>
      <c r="G116" s="106">
        <v>599</v>
      </c>
      <c r="H116" s="102">
        <v>134</v>
      </c>
      <c r="I116" s="126">
        <v>10</v>
      </c>
      <c r="J116" s="106">
        <f t="shared" si="3"/>
        <v>157</v>
      </c>
      <c r="K116">
        <f t="shared" si="4"/>
        <v>2.4153846153846152</v>
      </c>
      <c r="L116">
        <f t="shared" si="5"/>
        <v>8.3733333333333338E-4</v>
      </c>
      <c r="M116" s="122">
        <v>16</v>
      </c>
      <c r="N116">
        <v>0.15</v>
      </c>
    </row>
    <row r="117" spans="1:14" ht="15.6" x14ac:dyDescent="0.3">
      <c r="A117" s="105">
        <v>116</v>
      </c>
      <c r="B117" s="123">
        <v>13.023438266156713</v>
      </c>
      <c r="C117" s="122">
        <v>250</v>
      </c>
      <c r="D117" s="126">
        <v>2</v>
      </c>
      <c r="E117" s="122">
        <v>300</v>
      </c>
      <c r="F117" s="122">
        <v>625</v>
      </c>
      <c r="G117" s="106">
        <v>599</v>
      </c>
      <c r="H117" s="102">
        <v>134</v>
      </c>
      <c r="I117" s="126">
        <v>10</v>
      </c>
      <c r="J117" s="106">
        <f t="shared" si="3"/>
        <v>157</v>
      </c>
      <c r="K117">
        <f t="shared" si="4"/>
        <v>2.4153846153846152</v>
      </c>
      <c r="L117">
        <f t="shared" si="5"/>
        <v>8.3733333333333338E-4</v>
      </c>
      <c r="M117" s="122">
        <v>16</v>
      </c>
      <c r="N117">
        <v>0.23</v>
      </c>
    </row>
    <row r="118" spans="1:14" ht="15.6" x14ac:dyDescent="0.3">
      <c r="A118" s="105">
        <v>117</v>
      </c>
      <c r="B118" s="123">
        <v>13.023438266156713</v>
      </c>
      <c r="C118" s="122">
        <v>300</v>
      </c>
      <c r="D118" s="126">
        <v>2</v>
      </c>
      <c r="E118" s="122">
        <v>300</v>
      </c>
      <c r="F118" s="122">
        <v>625</v>
      </c>
      <c r="G118" s="106">
        <v>599</v>
      </c>
      <c r="H118" s="102">
        <v>134</v>
      </c>
      <c r="I118" s="126">
        <v>10</v>
      </c>
      <c r="J118" s="106">
        <f t="shared" si="3"/>
        <v>157</v>
      </c>
      <c r="K118">
        <f t="shared" si="4"/>
        <v>2.4153846153846152</v>
      </c>
      <c r="L118">
        <f t="shared" si="5"/>
        <v>8.3733333333333338E-4</v>
      </c>
      <c r="M118" s="122">
        <v>16</v>
      </c>
      <c r="N118">
        <v>0.25</v>
      </c>
    </row>
    <row r="119" spans="1:14" ht="15.6" x14ac:dyDescent="0.3">
      <c r="A119" s="105">
        <v>118</v>
      </c>
      <c r="B119" s="123">
        <v>13.023438266156713</v>
      </c>
      <c r="C119" s="122">
        <v>350</v>
      </c>
      <c r="D119" s="126">
        <v>2</v>
      </c>
      <c r="E119" s="122">
        <v>300</v>
      </c>
      <c r="F119" s="122">
        <v>625</v>
      </c>
      <c r="G119" s="106">
        <v>599</v>
      </c>
      <c r="H119" s="102">
        <v>134</v>
      </c>
      <c r="I119" s="126">
        <v>10</v>
      </c>
      <c r="J119" s="106">
        <f t="shared" si="3"/>
        <v>157</v>
      </c>
      <c r="K119">
        <f t="shared" si="4"/>
        <v>2.4153846153846152</v>
      </c>
      <c r="L119">
        <f t="shared" si="5"/>
        <v>8.3733333333333338E-4</v>
      </c>
      <c r="M119" s="122">
        <v>16</v>
      </c>
      <c r="N119">
        <v>0.3</v>
      </c>
    </row>
    <row r="120" spans="1:14" ht="15.6" x14ac:dyDescent="0.3">
      <c r="A120" s="105">
        <v>119</v>
      </c>
      <c r="B120" s="123">
        <v>13.023438266156713</v>
      </c>
      <c r="C120" s="122">
        <v>390</v>
      </c>
      <c r="D120" s="126">
        <v>2</v>
      </c>
      <c r="E120" s="122">
        <v>300</v>
      </c>
      <c r="F120" s="122">
        <v>625</v>
      </c>
      <c r="G120" s="106">
        <v>599</v>
      </c>
      <c r="H120" s="102">
        <v>134</v>
      </c>
      <c r="I120" s="126">
        <v>10</v>
      </c>
      <c r="J120" s="106">
        <f t="shared" si="3"/>
        <v>157</v>
      </c>
      <c r="K120">
        <f t="shared" si="4"/>
        <v>2.4153846153846152</v>
      </c>
      <c r="L120">
        <f t="shared" si="5"/>
        <v>8.3733333333333338E-4</v>
      </c>
      <c r="M120" s="122">
        <v>16</v>
      </c>
      <c r="N120">
        <v>1.2</v>
      </c>
    </row>
    <row r="121" spans="1:14" ht="15.6" x14ac:dyDescent="0.3">
      <c r="A121" s="105">
        <v>120</v>
      </c>
      <c r="B121" s="123">
        <v>13.674610179464548</v>
      </c>
      <c r="C121" s="122">
        <v>200</v>
      </c>
      <c r="D121" s="126">
        <v>2</v>
      </c>
      <c r="E121" s="122">
        <v>300</v>
      </c>
      <c r="F121" s="122">
        <v>625</v>
      </c>
      <c r="G121" s="106">
        <v>600</v>
      </c>
      <c r="H121" s="102">
        <v>135</v>
      </c>
      <c r="I121" s="126">
        <v>10</v>
      </c>
      <c r="J121" s="106">
        <f t="shared" si="3"/>
        <v>157</v>
      </c>
      <c r="K121">
        <f t="shared" si="4"/>
        <v>2.512</v>
      </c>
      <c r="L121">
        <f t="shared" si="5"/>
        <v>8.3733333333333338E-4</v>
      </c>
      <c r="M121" s="122">
        <v>15</v>
      </c>
      <c r="N121">
        <v>0.2</v>
      </c>
    </row>
    <row r="122" spans="1:14" ht="15.6" x14ac:dyDescent="0.3">
      <c r="A122" s="105">
        <v>121</v>
      </c>
      <c r="B122" s="123">
        <v>13.674610179464548</v>
      </c>
      <c r="C122" s="122">
        <v>250</v>
      </c>
      <c r="D122" s="126">
        <v>2</v>
      </c>
      <c r="E122" s="122">
        <v>300</v>
      </c>
      <c r="F122" s="122">
        <v>625</v>
      </c>
      <c r="G122" s="106">
        <v>600</v>
      </c>
      <c r="H122" s="102">
        <v>135</v>
      </c>
      <c r="I122" s="126">
        <v>10</v>
      </c>
      <c r="J122" s="106">
        <f t="shared" si="3"/>
        <v>157</v>
      </c>
      <c r="K122">
        <f t="shared" si="4"/>
        <v>2.512</v>
      </c>
      <c r="L122">
        <f t="shared" si="5"/>
        <v>8.3733333333333338E-4</v>
      </c>
      <c r="M122" s="122">
        <v>15</v>
      </c>
      <c r="N122">
        <v>0.27</v>
      </c>
    </row>
    <row r="123" spans="1:14" ht="15.6" x14ac:dyDescent="0.3">
      <c r="A123" s="105">
        <v>122</v>
      </c>
      <c r="B123" s="123">
        <v>13.674610179464548</v>
      </c>
      <c r="C123" s="122">
        <v>300</v>
      </c>
      <c r="D123" s="126">
        <v>2</v>
      </c>
      <c r="E123" s="122">
        <v>300</v>
      </c>
      <c r="F123" s="122">
        <v>625</v>
      </c>
      <c r="G123" s="106">
        <v>600</v>
      </c>
      <c r="H123" s="102">
        <v>135</v>
      </c>
      <c r="I123" s="126">
        <v>10</v>
      </c>
      <c r="J123" s="106">
        <f t="shared" si="3"/>
        <v>157</v>
      </c>
      <c r="K123">
        <f t="shared" si="4"/>
        <v>2.512</v>
      </c>
      <c r="L123">
        <f t="shared" si="5"/>
        <v>8.3733333333333338E-4</v>
      </c>
      <c r="M123" s="122">
        <v>15</v>
      </c>
      <c r="N123">
        <v>0.35</v>
      </c>
    </row>
    <row r="124" spans="1:14" ht="15.6" x14ac:dyDescent="0.3">
      <c r="A124" s="105">
        <v>123</v>
      </c>
      <c r="B124" s="123">
        <v>13.674610179464548</v>
      </c>
      <c r="C124" s="122">
        <v>350</v>
      </c>
      <c r="D124" s="126">
        <v>2</v>
      </c>
      <c r="E124" s="122">
        <v>300</v>
      </c>
      <c r="F124" s="122">
        <v>625</v>
      </c>
      <c r="G124" s="106">
        <v>600</v>
      </c>
      <c r="H124" s="102">
        <v>135</v>
      </c>
      <c r="I124" s="126">
        <v>10</v>
      </c>
      <c r="J124" s="106">
        <f t="shared" si="3"/>
        <v>157</v>
      </c>
      <c r="K124">
        <f t="shared" si="4"/>
        <v>2.512</v>
      </c>
      <c r="L124">
        <f t="shared" si="5"/>
        <v>8.3733333333333338E-4</v>
      </c>
      <c r="M124" s="122">
        <v>15</v>
      </c>
      <c r="N124">
        <v>0.35</v>
      </c>
    </row>
    <row r="125" spans="1:14" ht="15.6" x14ac:dyDescent="0.3">
      <c r="A125" s="105">
        <v>124</v>
      </c>
      <c r="B125" s="123">
        <v>13.674610179464548</v>
      </c>
      <c r="C125" s="122">
        <v>400</v>
      </c>
      <c r="D125" s="126">
        <v>2</v>
      </c>
      <c r="E125" s="122">
        <v>300</v>
      </c>
      <c r="F125" s="122">
        <v>625</v>
      </c>
      <c r="G125" s="106">
        <v>600</v>
      </c>
      <c r="H125" s="102">
        <v>135</v>
      </c>
      <c r="I125" s="126">
        <v>10</v>
      </c>
      <c r="J125" s="106">
        <f t="shared" si="3"/>
        <v>157</v>
      </c>
      <c r="K125">
        <f t="shared" si="4"/>
        <v>2.512</v>
      </c>
      <c r="L125">
        <f t="shared" si="5"/>
        <v>8.3733333333333338E-4</v>
      </c>
      <c r="M125" s="122">
        <v>15</v>
      </c>
      <c r="N125">
        <v>0.45</v>
      </c>
    </row>
    <row r="126" spans="1:14" ht="15.6" x14ac:dyDescent="0.3">
      <c r="A126" s="105">
        <v>125</v>
      </c>
      <c r="B126" s="123">
        <v>13.918799646954987</v>
      </c>
      <c r="C126" s="122">
        <v>200</v>
      </c>
      <c r="D126" s="126">
        <v>2</v>
      </c>
      <c r="E126" s="122">
        <v>300</v>
      </c>
      <c r="F126" s="122">
        <v>625</v>
      </c>
      <c r="G126" s="106">
        <v>590</v>
      </c>
      <c r="H126" s="102">
        <v>125</v>
      </c>
      <c r="I126" s="126">
        <v>10</v>
      </c>
      <c r="J126" s="106">
        <f t="shared" si="3"/>
        <v>157</v>
      </c>
      <c r="K126">
        <f t="shared" si="4"/>
        <v>1.7942857142857143</v>
      </c>
      <c r="L126">
        <f t="shared" si="5"/>
        <v>8.3733333333333338E-4</v>
      </c>
      <c r="M126" s="122">
        <v>25</v>
      </c>
      <c r="N126">
        <v>0.17</v>
      </c>
    </row>
    <row r="127" spans="1:14" ht="15.6" x14ac:dyDescent="0.3">
      <c r="A127" s="105">
        <v>126</v>
      </c>
      <c r="B127" s="123">
        <v>13.918799646954987</v>
      </c>
      <c r="C127" s="122">
        <v>250</v>
      </c>
      <c r="D127" s="126">
        <v>2</v>
      </c>
      <c r="E127" s="122">
        <v>300</v>
      </c>
      <c r="F127" s="122">
        <v>625</v>
      </c>
      <c r="G127" s="106">
        <v>590</v>
      </c>
      <c r="H127" s="102">
        <v>125</v>
      </c>
      <c r="I127" s="126">
        <v>10</v>
      </c>
      <c r="J127" s="106">
        <f t="shared" si="3"/>
        <v>157</v>
      </c>
      <c r="K127">
        <f t="shared" si="4"/>
        <v>1.7942857142857143</v>
      </c>
      <c r="L127">
        <f t="shared" si="5"/>
        <v>8.3733333333333338E-4</v>
      </c>
      <c r="M127" s="122">
        <v>25</v>
      </c>
      <c r="N127">
        <v>0.25</v>
      </c>
    </row>
    <row r="128" spans="1:14" ht="15.6" x14ac:dyDescent="0.3">
      <c r="A128" s="105">
        <v>127</v>
      </c>
      <c r="B128" s="123">
        <v>13.918799646954987</v>
      </c>
      <c r="C128" s="122">
        <v>300</v>
      </c>
      <c r="D128" s="126">
        <v>2</v>
      </c>
      <c r="E128" s="122">
        <v>300</v>
      </c>
      <c r="F128" s="122">
        <v>625</v>
      </c>
      <c r="G128" s="106">
        <v>590</v>
      </c>
      <c r="H128" s="102">
        <v>125</v>
      </c>
      <c r="I128" s="126">
        <v>10</v>
      </c>
      <c r="J128" s="106">
        <f t="shared" si="3"/>
        <v>157</v>
      </c>
      <c r="K128">
        <f t="shared" si="4"/>
        <v>1.7942857142857143</v>
      </c>
      <c r="L128">
        <f t="shared" si="5"/>
        <v>8.3733333333333338E-4</v>
      </c>
      <c r="M128" s="122">
        <v>25</v>
      </c>
      <c r="N128">
        <v>0.25</v>
      </c>
    </row>
    <row r="129" spans="1:14" ht="15.6" x14ac:dyDescent="0.3">
      <c r="A129" s="105">
        <v>128</v>
      </c>
      <c r="B129" s="123">
        <v>13.918799646954987</v>
      </c>
      <c r="C129" s="122">
        <v>350</v>
      </c>
      <c r="D129" s="126">
        <v>2</v>
      </c>
      <c r="E129" s="122">
        <v>300</v>
      </c>
      <c r="F129" s="122">
        <v>625</v>
      </c>
      <c r="G129" s="106">
        <v>590</v>
      </c>
      <c r="H129" s="102">
        <v>125</v>
      </c>
      <c r="I129" s="126">
        <v>10</v>
      </c>
      <c r="J129" s="106">
        <f t="shared" si="3"/>
        <v>157</v>
      </c>
      <c r="K129">
        <f t="shared" si="4"/>
        <v>1.7942857142857143</v>
      </c>
      <c r="L129">
        <f t="shared" si="5"/>
        <v>8.3733333333333338E-4</v>
      </c>
      <c r="M129" s="122">
        <v>25</v>
      </c>
      <c r="N129">
        <v>0.35</v>
      </c>
    </row>
    <row r="130" spans="1:14" ht="15.6" x14ac:dyDescent="0.3">
      <c r="A130" s="105">
        <v>129</v>
      </c>
      <c r="B130" s="123">
        <v>13.918799646954987</v>
      </c>
      <c r="C130" s="122">
        <v>400</v>
      </c>
      <c r="D130" s="126">
        <v>2</v>
      </c>
      <c r="E130" s="122">
        <v>300</v>
      </c>
      <c r="F130" s="122">
        <v>625</v>
      </c>
      <c r="G130" s="106">
        <v>590</v>
      </c>
      <c r="H130" s="102">
        <v>125</v>
      </c>
      <c r="I130" s="126">
        <v>10</v>
      </c>
      <c r="J130" s="106">
        <f t="shared" si="3"/>
        <v>157</v>
      </c>
      <c r="K130">
        <f t="shared" si="4"/>
        <v>1.7942857142857143</v>
      </c>
      <c r="L130">
        <f t="shared" si="5"/>
        <v>8.3733333333333338E-4</v>
      </c>
      <c r="M130" s="122">
        <v>25</v>
      </c>
      <c r="N130">
        <v>0.5</v>
      </c>
    </row>
    <row r="131" spans="1:14" ht="15.6" x14ac:dyDescent="0.3">
      <c r="A131" s="105">
        <v>130</v>
      </c>
      <c r="B131" s="123">
        <v>13.918799646954987</v>
      </c>
      <c r="C131" s="122">
        <v>450</v>
      </c>
      <c r="D131" s="126">
        <v>2</v>
      </c>
      <c r="E131" s="122">
        <v>300</v>
      </c>
      <c r="F131" s="122">
        <v>625</v>
      </c>
      <c r="G131" s="106">
        <v>590</v>
      </c>
      <c r="H131" s="102">
        <v>125</v>
      </c>
      <c r="I131" s="126">
        <v>10</v>
      </c>
      <c r="J131" s="106">
        <f t="shared" ref="J131:J163" si="6">D131*(3.14/4)*I131*I131</f>
        <v>157</v>
      </c>
      <c r="K131">
        <f t="shared" ref="K131:K163" si="7">J131/(2.5*(F131-G131))</f>
        <v>1.7942857142857143</v>
      </c>
      <c r="L131">
        <f t="shared" ref="L131:L182" si="8">J131/(E131*F131)</f>
        <v>8.3733333333333338E-4</v>
      </c>
      <c r="M131" s="122">
        <v>25</v>
      </c>
      <c r="N131">
        <v>0.5</v>
      </c>
    </row>
    <row r="132" spans="1:14" ht="15.6" x14ac:dyDescent="0.3">
      <c r="A132" s="105">
        <v>131</v>
      </c>
      <c r="B132" s="123">
        <v>13.837403157791508</v>
      </c>
      <c r="C132" s="122">
        <v>200</v>
      </c>
      <c r="D132" s="126">
        <v>2</v>
      </c>
      <c r="E132" s="122">
        <v>300</v>
      </c>
      <c r="F132" s="122">
        <v>625</v>
      </c>
      <c r="G132" s="106">
        <v>590</v>
      </c>
      <c r="H132" s="102">
        <v>125</v>
      </c>
      <c r="I132" s="126">
        <v>10</v>
      </c>
      <c r="J132" s="106">
        <f t="shared" si="6"/>
        <v>157</v>
      </c>
      <c r="K132">
        <f t="shared" si="7"/>
        <v>1.7942857142857143</v>
      </c>
      <c r="L132">
        <f t="shared" si="8"/>
        <v>8.3733333333333338E-4</v>
      </c>
      <c r="M132" s="122">
        <v>25</v>
      </c>
      <c r="N132">
        <v>0.15</v>
      </c>
    </row>
    <row r="133" spans="1:14" ht="15.6" x14ac:dyDescent="0.3">
      <c r="A133" s="105">
        <v>132</v>
      </c>
      <c r="B133" s="123">
        <v>13.837403157791508</v>
      </c>
      <c r="C133" s="122">
        <v>250</v>
      </c>
      <c r="D133" s="126">
        <v>2</v>
      </c>
      <c r="E133" s="122">
        <v>300</v>
      </c>
      <c r="F133" s="122">
        <v>625</v>
      </c>
      <c r="G133" s="106">
        <v>590</v>
      </c>
      <c r="H133" s="102">
        <v>125</v>
      </c>
      <c r="I133" s="126">
        <v>10</v>
      </c>
      <c r="J133" s="106">
        <f t="shared" si="6"/>
        <v>157</v>
      </c>
      <c r="K133">
        <f t="shared" si="7"/>
        <v>1.7942857142857143</v>
      </c>
      <c r="L133">
        <f t="shared" si="8"/>
        <v>8.3733333333333338E-4</v>
      </c>
      <c r="M133" s="122">
        <v>25</v>
      </c>
      <c r="N133">
        <v>0.25</v>
      </c>
    </row>
    <row r="134" spans="1:14" ht="15.6" x14ac:dyDescent="0.3">
      <c r="A134" s="105">
        <v>133</v>
      </c>
      <c r="B134" s="123">
        <v>13.837403157791508</v>
      </c>
      <c r="C134" s="122">
        <v>300</v>
      </c>
      <c r="D134" s="126">
        <v>2</v>
      </c>
      <c r="E134" s="122">
        <v>300</v>
      </c>
      <c r="F134" s="122">
        <v>625</v>
      </c>
      <c r="G134" s="106">
        <v>590</v>
      </c>
      <c r="H134" s="102">
        <v>125</v>
      </c>
      <c r="I134" s="126">
        <v>10</v>
      </c>
      <c r="J134" s="106">
        <f t="shared" si="6"/>
        <v>157</v>
      </c>
      <c r="K134">
        <f t="shared" si="7"/>
        <v>1.7942857142857143</v>
      </c>
      <c r="L134">
        <f t="shared" si="8"/>
        <v>8.3733333333333338E-4</v>
      </c>
      <c r="M134" s="122">
        <v>25</v>
      </c>
      <c r="N134">
        <v>0.3</v>
      </c>
    </row>
    <row r="135" spans="1:14" ht="15.6" x14ac:dyDescent="0.3">
      <c r="A135" s="105">
        <v>134</v>
      </c>
      <c r="B135" s="123">
        <v>13.837403157791508</v>
      </c>
      <c r="C135" s="122">
        <v>350</v>
      </c>
      <c r="D135" s="126">
        <v>2</v>
      </c>
      <c r="E135" s="122">
        <v>300</v>
      </c>
      <c r="F135" s="122">
        <v>625</v>
      </c>
      <c r="G135" s="106">
        <v>590</v>
      </c>
      <c r="H135" s="102">
        <v>125</v>
      </c>
      <c r="I135" s="126">
        <v>10</v>
      </c>
      <c r="J135" s="106">
        <f t="shared" si="6"/>
        <v>157</v>
      </c>
      <c r="K135">
        <f t="shared" si="7"/>
        <v>1.7942857142857143</v>
      </c>
      <c r="L135">
        <f t="shared" si="8"/>
        <v>8.3733333333333338E-4</v>
      </c>
      <c r="M135" s="122">
        <v>25</v>
      </c>
      <c r="N135">
        <v>0.3</v>
      </c>
    </row>
    <row r="136" spans="1:14" ht="15.6" x14ac:dyDescent="0.3">
      <c r="A136" s="105">
        <v>135</v>
      </c>
      <c r="B136" s="123">
        <v>13.837403157791508</v>
      </c>
      <c r="C136" s="122">
        <v>400</v>
      </c>
      <c r="D136" s="126">
        <v>2</v>
      </c>
      <c r="E136" s="122">
        <v>300</v>
      </c>
      <c r="F136" s="122">
        <v>625</v>
      </c>
      <c r="G136" s="106">
        <v>590</v>
      </c>
      <c r="H136" s="102">
        <v>125</v>
      </c>
      <c r="I136" s="126">
        <v>10</v>
      </c>
      <c r="J136" s="106">
        <f t="shared" si="6"/>
        <v>157</v>
      </c>
      <c r="K136">
        <f t="shared" si="7"/>
        <v>1.7942857142857143</v>
      </c>
      <c r="L136">
        <f t="shared" si="8"/>
        <v>8.3733333333333338E-4</v>
      </c>
      <c r="M136" s="122">
        <v>25</v>
      </c>
      <c r="N136">
        <v>0.4</v>
      </c>
    </row>
    <row r="137" spans="1:14" ht="15.6" x14ac:dyDescent="0.3">
      <c r="A137" s="105">
        <v>136</v>
      </c>
      <c r="B137" s="123">
        <v>13.837403157791508</v>
      </c>
      <c r="C137" s="122">
        <v>450</v>
      </c>
      <c r="D137" s="126">
        <v>2</v>
      </c>
      <c r="E137" s="122">
        <v>300</v>
      </c>
      <c r="F137" s="122">
        <v>625</v>
      </c>
      <c r="G137" s="106">
        <v>590</v>
      </c>
      <c r="H137" s="102">
        <v>125</v>
      </c>
      <c r="I137" s="126">
        <v>10</v>
      </c>
      <c r="J137" s="106">
        <f t="shared" si="6"/>
        <v>157</v>
      </c>
      <c r="K137">
        <f t="shared" si="7"/>
        <v>1.7942857142857143</v>
      </c>
      <c r="L137">
        <f t="shared" si="8"/>
        <v>8.3733333333333338E-4</v>
      </c>
      <c r="M137" s="122">
        <v>25</v>
      </c>
      <c r="N137">
        <v>0.4</v>
      </c>
    </row>
    <row r="138" spans="1:14" ht="15.6" x14ac:dyDescent="0.3">
      <c r="A138" s="105">
        <v>137</v>
      </c>
      <c r="B138" s="123">
        <v>12.616455820339317</v>
      </c>
      <c r="C138" s="122">
        <v>200</v>
      </c>
      <c r="D138" s="126">
        <v>2</v>
      </c>
      <c r="E138" s="122">
        <v>300</v>
      </c>
      <c r="F138" s="122">
        <v>625</v>
      </c>
      <c r="G138" s="106">
        <v>592</v>
      </c>
      <c r="H138" s="102">
        <v>127</v>
      </c>
      <c r="I138" s="126">
        <v>10</v>
      </c>
      <c r="J138" s="106">
        <f t="shared" si="6"/>
        <v>157</v>
      </c>
      <c r="K138">
        <f t="shared" si="7"/>
        <v>1.9030303030303031</v>
      </c>
      <c r="L138">
        <f t="shared" si="8"/>
        <v>8.3733333333333338E-4</v>
      </c>
      <c r="M138" s="122">
        <v>23</v>
      </c>
      <c r="N138">
        <v>0.17</v>
      </c>
    </row>
    <row r="139" spans="1:14" ht="15.6" x14ac:dyDescent="0.3">
      <c r="A139" s="105">
        <v>138</v>
      </c>
      <c r="B139" s="123">
        <v>12.616455820339317</v>
      </c>
      <c r="C139" s="122">
        <v>250</v>
      </c>
      <c r="D139" s="126">
        <v>2</v>
      </c>
      <c r="E139" s="122">
        <v>300</v>
      </c>
      <c r="F139" s="122">
        <v>625</v>
      </c>
      <c r="G139" s="106">
        <v>592</v>
      </c>
      <c r="H139" s="102">
        <v>127</v>
      </c>
      <c r="I139" s="126">
        <v>10</v>
      </c>
      <c r="J139" s="106">
        <f t="shared" si="6"/>
        <v>157</v>
      </c>
      <c r="K139">
        <f t="shared" si="7"/>
        <v>1.9030303030303031</v>
      </c>
      <c r="L139">
        <f t="shared" si="8"/>
        <v>8.3733333333333338E-4</v>
      </c>
      <c r="M139" s="122">
        <v>23</v>
      </c>
      <c r="N139">
        <v>0.23</v>
      </c>
    </row>
    <row r="140" spans="1:14" ht="15.6" x14ac:dyDescent="0.3">
      <c r="A140" s="105">
        <v>139</v>
      </c>
      <c r="B140" s="123">
        <v>12.616455820339317</v>
      </c>
      <c r="C140" s="122">
        <v>300</v>
      </c>
      <c r="D140" s="126">
        <v>2</v>
      </c>
      <c r="E140" s="122">
        <v>300</v>
      </c>
      <c r="F140" s="122">
        <v>625</v>
      </c>
      <c r="G140" s="106">
        <v>592</v>
      </c>
      <c r="H140" s="102">
        <v>127</v>
      </c>
      <c r="I140" s="126">
        <v>10</v>
      </c>
      <c r="J140" s="106">
        <f t="shared" si="6"/>
        <v>157</v>
      </c>
      <c r="K140">
        <f t="shared" si="7"/>
        <v>1.9030303030303031</v>
      </c>
      <c r="L140">
        <f t="shared" si="8"/>
        <v>8.3733333333333338E-4</v>
      </c>
      <c r="M140" s="122">
        <v>23</v>
      </c>
      <c r="N140">
        <v>0.45</v>
      </c>
    </row>
    <row r="141" spans="1:14" ht="15.6" x14ac:dyDescent="0.3">
      <c r="A141" s="105">
        <v>140</v>
      </c>
      <c r="B141" s="123">
        <v>12.616455820339317</v>
      </c>
      <c r="C141" s="122">
        <v>350</v>
      </c>
      <c r="D141" s="126">
        <v>2</v>
      </c>
      <c r="E141" s="122">
        <v>300</v>
      </c>
      <c r="F141" s="122">
        <v>625</v>
      </c>
      <c r="G141" s="106">
        <v>592</v>
      </c>
      <c r="H141" s="102">
        <v>127</v>
      </c>
      <c r="I141" s="126">
        <v>10</v>
      </c>
      <c r="J141" s="106">
        <f t="shared" si="6"/>
        <v>157</v>
      </c>
      <c r="K141">
        <f t="shared" si="7"/>
        <v>1.9030303030303031</v>
      </c>
      <c r="L141">
        <f t="shared" si="8"/>
        <v>8.3733333333333338E-4</v>
      </c>
      <c r="M141" s="122">
        <v>23</v>
      </c>
      <c r="N141">
        <v>0.45</v>
      </c>
    </row>
    <row r="142" spans="1:14" ht="15.6" x14ac:dyDescent="0.3">
      <c r="A142" s="105">
        <v>141</v>
      </c>
      <c r="B142" s="123">
        <v>12.616455820339317</v>
      </c>
      <c r="C142" s="122">
        <v>400</v>
      </c>
      <c r="D142" s="126">
        <v>2</v>
      </c>
      <c r="E142" s="122">
        <v>300</v>
      </c>
      <c r="F142" s="122">
        <v>625</v>
      </c>
      <c r="G142" s="106">
        <v>592</v>
      </c>
      <c r="H142" s="102">
        <v>127</v>
      </c>
      <c r="I142" s="126">
        <v>10</v>
      </c>
      <c r="J142" s="106">
        <f t="shared" si="6"/>
        <v>157</v>
      </c>
      <c r="K142">
        <f t="shared" si="7"/>
        <v>1.9030303030303031</v>
      </c>
      <c r="L142">
        <f t="shared" si="8"/>
        <v>8.3733333333333338E-4</v>
      </c>
      <c r="M142" s="122">
        <v>23</v>
      </c>
      <c r="N142">
        <v>0.51</v>
      </c>
    </row>
    <row r="143" spans="1:14" ht="15.6" x14ac:dyDescent="0.3">
      <c r="A143" s="105">
        <v>142</v>
      </c>
      <c r="B143" s="123">
        <v>33.860939492007454</v>
      </c>
      <c r="C143" s="122">
        <v>200</v>
      </c>
      <c r="D143" s="126">
        <v>2</v>
      </c>
      <c r="E143" s="122">
        <v>300</v>
      </c>
      <c r="F143" s="122">
        <v>625</v>
      </c>
      <c r="G143" s="106">
        <v>588</v>
      </c>
      <c r="H143" s="102">
        <v>123</v>
      </c>
      <c r="I143" s="126">
        <v>10</v>
      </c>
      <c r="J143" s="106">
        <f t="shared" si="6"/>
        <v>157</v>
      </c>
      <c r="K143">
        <f t="shared" si="7"/>
        <v>1.6972972972972973</v>
      </c>
      <c r="L143">
        <f t="shared" si="8"/>
        <v>8.3733333333333338E-4</v>
      </c>
      <c r="M143" s="122">
        <v>27</v>
      </c>
      <c r="N143">
        <v>0.2</v>
      </c>
    </row>
    <row r="144" spans="1:14" ht="15.6" x14ac:dyDescent="0.3">
      <c r="A144" s="105">
        <v>143</v>
      </c>
      <c r="B144" s="123">
        <v>33.860939492007454</v>
      </c>
      <c r="C144" s="122">
        <v>250</v>
      </c>
      <c r="D144" s="126">
        <v>2</v>
      </c>
      <c r="E144" s="122">
        <v>300</v>
      </c>
      <c r="F144" s="122">
        <v>625</v>
      </c>
      <c r="G144" s="106">
        <v>588</v>
      </c>
      <c r="H144" s="102">
        <v>123</v>
      </c>
      <c r="I144" s="126">
        <v>10</v>
      </c>
      <c r="J144" s="106">
        <f t="shared" si="6"/>
        <v>157</v>
      </c>
      <c r="K144">
        <f t="shared" si="7"/>
        <v>1.6972972972972973</v>
      </c>
      <c r="L144">
        <f t="shared" si="8"/>
        <v>8.3733333333333338E-4</v>
      </c>
      <c r="M144" s="122">
        <v>27</v>
      </c>
      <c r="N144">
        <v>0.25</v>
      </c>
    </row>
    <row r="145" spans="1:14" ht="15.6" x14ac:dyDescent="0.3">
      <c r="A145" s="105">
        <v>144</v>
      </c>
      <c r="B145" s="123">
        <v>33.860939492007454</v>
      </c>
      <c r="C145" s="122">
        <v>300</v>
      </c>
      <c r="D145" s="126">
        <v>2</v>
      </c>
      <c r="E145" s="122">
        <v>300</v>
      </c>
      <c r="F145" s="122">
        <v>625</v>
      </c>
      <c r="G145" s="106">
        <v>588</v>
      </c>
      <c r="H145" s="102">
        <v>123</v>
      </c>
      <c r="I145" s="126">
        <v>10</v>
      </c>
      <c r="J145" s="106">
        <f t="shared" si="6"/>
        <v>157</v>
      </c>
      <c r="K145">
        <f t="shared" si="7"/>
        <v>1.6972972972972973</v>
      </c>
      <c r="L145">
        <f t="shared" si="8"/>
        <v>8.3733333333333338E-4</v>
      </c>
      <c r="M145" s="122">
        <v>27</v>
      </c>
      <c r="N145">
        <v>0.56999999999999995</v>
      </c>
    </row>
    <row r="146" spans="1:14" ht="15.6" x14ac:dyDescent="0.3">
      <c r="A146" s="105">
        <v>145</v>
      </c>
      <c r="B146" s="123">
        <v>33.860939492007454</v>
      </c>
      <c r="C146" s="122">
        <v>350</v>
      </c>
      <c r="D146" s="126">
        <v>2</v>
      </c>
      <c r="E146" s="122">
        <v>300</v>
      </c>
      <c r="F146" s="122">
        <v>625</v>
      </c>
      <c r="G146" s="106">
        <v>588</v>
      </c>
      <c r="H146" s="102">
        <v>123</v>
      </c>
      <c r="I146" s="126">
        <v>10</v>
      </c>
      <c r="J146" s="106">
        <f t="shared" si="6"/>
        <v>157</v>
      </c>
      <c r="K146">
        <f t="shared" si="7"/>
        <v>1.6972972972972973</v>
      </c>
      <c r="L146">
        <f t="shared" si="8"/>
        <v>8.3733333333333338E-4</v>
      </c>
      <c r="M146" s="122">
        <v>27</v>
      </c>
      <c r="N146">
        <v>0.45</v>
      </c>
    </row>
    <row r="147" spans="1:14" ht="15.6" x14ac:dyDescent="0.3">
      <c r="A147" s="105">
        <v>146</v>
      </c>
      <c r="B147" s="123">
        <v>33.860939492007454</v>
      </c>
      <c r="C147" s="122">
        <v>400</v>
      </c>
      <c r="D147" s="126">
        <v>2</v>
      </c>
      <c r="E147" s="122">
        <v>300</v>
      </c>
      <c r="F147" s="122">
        <v>625</v>
      </c>
      <c r="G147" s="106">
        <v>588</v>
      </c>
      <c r="H147" s="102">
        <v>123</v>
      </c>
      <c r="I147" s="126">
        <v>10</v>
      </c>
      <c r="J147" s="106">
        <f t="shared" si="6"/>
        <v>157</v>
      </c>
      <c r="K147">
        <f t="shared" si="7"/>
        <v>1.6972972972972973</v>
      </c>
      <c r="L147">
        <f t="shared" si="8"/>
        <v>8.3733333333333338E-4</v>
      </c>
      <c r="M147" s="122">
        <v>27</v>
      </c>
      <c r="N147">
        <v>0.5</v>
      </c>
    </row>
    <row r="148" spans="1:14" ht="15.6" x14ac:dyDescent="0.3">
      <c r="A148" s="105">
        <v>147</v>
      </c>
      <c r="B148" s="123">
        <v>33.860939492007454</v>
      </c>
      <c r="C148" s="122">
        <v>450</v>
      </c>
      <c r="D148" s="126">
        <v>2</v>
      </c>
      <c r="E148" s="122">
        <v>300</v>
      </c>
      <c r="F148" s="122">
        <v>625</v>
      </c>
      <c r="G148" s="106">
        <v>588</v>
      </c>
      <c r="H148" s="102">
        <v>123</v>
      </c>
      <c r="I148" s="126">
        <v>10</v>
      </c>
      <c r="J148" s="106">
        <f t="shared" si="6"/>
        <v>157</v>
      </c>
      <c r="K148">
        <f t="shared" si="7"/>
        <v>1.6972972972972973</v>
      </c>
      <c r="L148">
        <f t="shared" si="8"/>
        <v>8.3733333333333338E-4</v>
      </c>
      <c r="M148" s="122">
        <v>27</v>
      </c>
      <c r="N148">
        <v>0.6</v>
      </c>
    </row>
    <row r="149" spans="1:14" ht="15.6" x14ac:dyDescent="0.3">
      <c r="A149" s="105">
        <v>148</v>
      </c>
      <c r="B149" s="123">
        <v>13.267627733647151</v>
      </c>
      <c r="C149" s="122">
        <v>209</v>
      </c>
      <c r="D149" s="126">
        <v>2</v>
      </c>
      <c r="E149" s="122">
        <v>300</v>
      </c>
      <c r="F149" s="122">
        <v>625</v>
      </c>
      <c r="G149" s="106">
        <v>597</v>
      </c>
      <c r="H149" s="102">
        <v>132</v>
      </c>
      <c r="I149" s="126">
        <v>10</v>
      </c>
      <c r="J149" s="106">
        <f t="shared" si="6"/>
        <v>157</v>
      </c>
      <c r="K149">
        <f t="shared" si="7"/>
        <v>2.2428571428571429</v>
      </c>
      <c r="L149">
        <f t="shared" si="8"/>
        <v>8.3733333333333338E-4</v>
      </c>
      <c r="M149" s="122">
        <v>18</v>
      </c>
      <c r="N149">
        <v>0.2</v>
      </c>
    </row>
    <row r="150" spans="1:14" ht="15.6" x14ac:dyDescent="0.3">
      <c r="A150" s="105">
        <v>149</v>
      </c>
      <c r="B150" s="123">
        <v>13.267627733647151</v>
      </c>
      <c r="C150" s="122">
        <v>266</v>
      </c>
      <c r="D150" s="126">
        <v>2</v>
      </c>
      <c r="E150" s="122">
        <v>300</v>
      </c>
      <c r="F150" s="122">
        <v>625</v>
      </c>
      <c r="G150" s="106">
        <v>597</v>
      </c>
      <c r="H150" s="102">
        <v>132</v>
      </c>
      <c r="I150" s="126">
        <v>10</v>
      </c>
      <c r="J150" s="106">
        <f t="shared" si="6"/>
        <v>157</v>
      </c>
      <c r="K150">
        <f t="shared" si="7"/>
        <v>2.2428571428571429</v>
      </c>
      <c r="L150">
        <f t="shared" si="8"/>
        <v>8.3733333333333338E-4</v>
      </c>
      <c r="M150" s="122">
        <v>18</v>
      </c>
      <c r="N150">
        <v>0.25</v>
      </c>
    </row>
    <row r="151" spans="1:14" ht="15.6" x14ac:dyDescent="0.3">
      <c r="A151" s="105">
        <v>150</v>
      </c>
      <c r="B151" s="123">
        <v>13.267627733647151</v>
      </c>
      <c r="C151" s="122">
        <v>268</v>
      </c>
      <c r="D151" s="126">
        <v>2</v>
      </c>
      <c r="E151" s="122">
        <v>300</v>
      </c>
      <c r="F151" s="122">
        <v>625</v>
      </c>
      <c r="G151" s="106">
        <v>597</v>
      </c>
      <c r="H151" s="102">
        <v>132</v>
      </c>
      <c r="I151" s="126">
        <v>10</v>
      </c>
      <c r="J151" s="106">
        <f t="shared" si="6"/>
        <v>157</v>
      </c>
      <c r="K151">
        <f t="shared" si="7"/>
        <v>2.2428571428571429</v>
      </c>
      <c r="L151">
        <f t="shared" si="8"/>
        <v>8.3733333333333338E-4</v>
      </c>
      <c r="M151" s="122">
        <v>18</v>
      </c>
      <c r="N151">
        <v>0.23</v>
      </c>
    </row>
    <row r="152" spans="1:14" ht="15.6" x14ac:dyDescent="0.3">
      <c r="A152" s="105">
        <v>151</v>
      </c>
      <c r="B152" s="123">
        <v>13.267627733647151</v>
      </c>
      <c r="C152" s="122">
        <v>313</v>
      </c>
      <c r="D152" s="126">
        <v>2</v>
      </c>
      <c r="E152" s="122">
        <v>300</v>
      </c>
      <c r="F152" s="122">
        <v>625</v>
      </c>
      <c r="G152" s="106">
        <v>597</v>
      </c>
      <c r="H152" s="102">
        <v>132</v>
      </c>
      <c r="I152" s="126">
        <v>10</v>
      </c>
      <c r="J152" s="106">
        <f t="shared" si="6"/>
        <v>157</v>
      </c>
      <c r="K152">
        <f t="shared" si="7"/>
        <v>2.2428571428571429</v>
      </c>
      <c r="L152">
        <f t="shared" si="8"/>
        <v>8.3733333333333338E-4</v>
      </c>
      <c r="M152" s="122">
        <v>18</v>
      </c>
      <c r="N152">
        <v>0.27</v>
      </c>
    </row>
    <row r="153" spans="1:14" ht="15.6" x14ac:dyDescent="0.3">
      <c r="A153" s="105">
        <v>152</v>
      </c>
      <c r="B153" s="123">
        <v>13.267627733647151</v>
      </c>
      <c r="C153" s="122">
        <v>313</v>
      </c>
      <c r="D153" s="126">
        <v>2</v>
      </c>
      <c r="E153" s="122">
        <v>300</v>
      </c>
      <c r="F153" s="122">
        <v>625</v>
      </c>
      <c r="G153" s="106">
        <v>597</v>
      </c>
      <c r="H153" s="102">
        <v>132</v>
      </c>
      <c r="I153" s="126">
        <v>10</v>
      </c>
      <c r="J153" s="106">
        <f t="shared" si="6"/>
        <v>157</v>
      </c>
      <c r="K153">
        <f t="shared" si="7"/>
        <v>2.2428571428571429</v>
      </c>
      <c r="L153">
        <f t="shared" si="8"/>
        <v>8.3733333333333338E-4</v>
      </c>
      <c r="M153" s="122">
        <v>18</v>
      </c>
      <c r="N153">
        <v>0.3</v>
      </c>
    </row>
    <row r="154" spans="1:14" ht="15.6" x14ac:dyDescent="0.3">
      <c r="A154" s="105">
        <v>153</v>
      </c>
      <c r="B154" s="123">
        <v>25.884083553986468</v>
      </c>
      <c r="C154" s="122">
        <v>200</v>
      </c>
      <c r="D154" s="126">
        <v>2</v>
      </c>
      <c r="E154" s="122">
        <v>300</v>
      </c>
      <c r="F154" s="122">
        <v>625</v>
      </c>
      <c r="G154" s="106">
        <v>595</v>
      </c>
      <c r="H154" s="102">
        <v>130</v>
      </c>
      <c r="I154" s="126">
        <v>10</v>
      </c>
      <c r="J154" s="106">
        <f t="shared" si="6"/>
        <v>157</v>
      </c>
      <c r="K154">
        <f t="shared" si="7"/>
        <v>2.0933333333333333</v>
      </c>
      <c r="L154">
        <f t="shared" si="8"/>
        <v>8.3733333333333338E-4</v>
      </c>
      <c r="M154" s="122">
        <v>20</v>
      </c>
      <c r="N154">
        <v>0.17</v>
      </c>
    </row>
    <row r="155" spans="1:14" ht="15.6" x14ac:dyDescent="0.3">
      <c r="A155" s="105">
        <v>154</v>
      </c>
      <c r="B155" s="123">
        <v>25.884083553986468</v>
      </c>
      <c r="C155" s="122">
        <v>250</v>
      </c>
      <c r="D155" s="126">
        <v>2</v>
      </c>
      <c r="E155" s="122">
        <v>300</v>
      </c>
      <c r="F155" s="122">
        <v>625</v>
      </c>
      <c r="G155" s="106">
        <v>595</v>
      </c>
      <c r="H155" s="102">
        <v>130</v>
      </c>
      <c r="I155" s="126">
        <v>10</v>
      </c>
      <c r="J155" s="106">
        <f t="shared" si="6"/>
        <v>157</v>
      </c>
      <c r="K155">
        <f t="shared" si="7"/>
        <v>2.0933333333333333</v>
      </c>
      <c r="L155">
        <f t="shared" si="8"/>
        <v>8.3733333333333338E-4</v>
      </c>
      <c r="M155" s="122">
        <v>20</v>
      </c>
      <c r="N155">
        <v>0.25</v>
      </c>
    </row>
    <row r="156" spans="1:14" ht="15.6" x14ac:dyDescent="0.3">
      <c r="A156" s="105">
        <v>155</v>
      </c>
      <c r="B156" s="123">
        <v>25.884083553986468</v>
      </c>
      <c r="C156" s="122">
        <v>300</v>
      </c>
      <c r="D156" s="126">
        <v>2</v>
      </c>
      <c r="E156" s="122">
        <v>300</v>
      </c>
      <c r="F156" s="122">
        <v>625</v>
      </c>
      <c r="G156" s="106">
        <v>595</v>
      </c>
      <c r="H156" s="102">
        <v>130</v>
      </c>
      <c r="I156" s="126">
        <v>10</v>
      </c>
      <c r="J156" s="106">
        <f t="shared" si="6"/>
        <v>157</v>
      </c>
      <c r="K156">
        <f t="shared" si="7"/>
        <v>2.0933333333333333</v>
      </c>
      <c r="L156">
        <f t="shared" si="8"/>
        <v>8.3733333333333338E-4</v>
      </c>
      <c r="M156" s="122">
        <v>20</v>
      </c>
      <c r="N156">
        <v>0.4</v>
      </c>
    </row>
    <row r="157" spans="1:14" ht="15.6" x14ac:dyDescent="0.3">
      <c r="A157" s="105">
        <v>156</v>
      </c>
      <c r="B157" s="123">
        <v>25.884083553986468</v>
      </c>
      <c r="C157" s="122">
        <v>450</v>
      </c>
      <c r="D157" s="126">
        <v>2</v>
      </c>
      <c r="E157" s="122">
        <v>300</v>
      </c>
      <c r="F157" s="122">
        <v>625</v>
      </c>
      <c r="G157" s="106">
        <v>595</v>
      </c>
      <c r="H157" s="102">
        <v>130</v>
      </c>
      <c r="I157" s="126">
        <v>10</v>
      </c>
      <c r="J157" s="106">
        <f t="shared" si="6"/>
        <v>157</v>
      </c>
      <c r="K157">
        <f t="shared" si="7"/>
        <v>2.0933333333333333</v>
      </c>
      <c r="L157">
        <f t="shared" si="8"/>
        <v>8.3733333333333338E-4</v>
      </c>
      <c r="M157" s="122">
        <v>20</v>
      </c>
      <c r="N157">
        <v>0.6</v>
      </c>
    </row>
    <row r="158" spans="1:14" ht="15.6" x14ac:dyDescent="0.3">
      <c r="A158" s="105">
        <v>157</v>
      </c>
      <c r="B158" s="123">
        <v>18.477003040109835</v>
      </c>
      <c r="C158" s="122">
        <v>200</v>
      </c>
      <c r="D158" s="126">
        <v>2</v>
      </c>
      <c r="E158" s="122">
        <v>450</v>
      </c>
      <c r="F158" s="122">
        <v>1200</v>
      </c>
      <c r="G158" s="106">
        <v>1170</v>
      </c>
      <c r="H158" s="102">
        <v>205</v>
      </c>
      <c r="I158" s="126">
        <v>10</v>
      </c>
      <c r="J158" s="106">
        <f t="shared" si="6"/>
        <v>157</v>
      </c>
      <c r="K158">
        <f t="shared" si="7"/>
        <v>2.0933333333333333</v>
      </c>
      <c r="L158">
        <f t="shared" si="8"/>
        <v>2.9074074074074072E-4</v>
      </c>
      <c r="M158" s="122">
        <v>20</v>
      </c>
      <c r="N158">
        <v>0.2</v>
      </c>
    </row>
    <row r="159" spans="1:14" ht="15.6" x14ac:dyDescent="0.3">
      <c r="A159" s="105">
        <v>158</v>
      </c>
      <c r="B159" s="123">
        <v>18.477003040109835</v>
      </c>
      <c r="C159" s="122">
        <v>250</v>
      </c>
      <c r="D159" s="126">
        <v>2</v>
      </c>
      <c r="E159" s="122">
        <v>450</v>
      </c>
      <c r="F159" s="122">
        <v>1200</v>
      </c>
      <c r="G159" s="106">
        <v>1170</v>
      </c>
      <c r="H159" s="102">
        <v>205</v>
      </c>
      <c r="I159" s="126">
        <v>10</v>
      </c>
      <c r="J159" s="106">
        <f t="shared" si="6"/>
        <v>157</v>
      </c>
      <c r="K159">
        <f t="shared" si="7"/>
        <v>2.0933333333333333</v>
      </c>
      <c r="L159">
        <f t="shared" si="8"/>
        <v>2.9074074074074072E-4</v>
      </c>
      <c r="M159" s="122">
        <v>20</v>
      </c>
      <c r="N159">
        <v>0.2</v>
      </c>
    </row>
    <row r="160" spans="1:14" ht="15.6" x14ac:dyDescent="0.3">
      <c r="A160" s="105">
        <v>159</v>
      </c>
      <c r="B160" s="123">
        <v>18.477003040109835</v>
      </c>
      <c r="C160" s="122">
        <v>300</v>
      </c>
      <c r="D160" s="126">
        <v>2</v>
      </c>
      <c r="E160" s="122">
        <v>450</v>
      </c>
      <c r="F160" s="122">
        <v>1200</v>
      </c>
      <c r="G160" s="106">
        <v>1170</v>
      </c>
      <c r="H160" s="102">
        <v>205</v>
      </c>
      <c r="I160" s="126">
        <v>10</v>
      </c>
      <c r="J160" s="106">
        <f t="shared" si="6"/>
        <v>157</v>
      </c>
      <c r="K160">
        <f t="shared" si="7"/>
        <v>2.0933333333333333</v>
      </c>
      <c r="L160">
        <f t="shared" si="8"/>
        <v>2.9074074074074072E-4</v>
      </c>
      <c r="M160" s="122">
        <v>20</v>
      </c>
      <c r="N160">
        <v>0.25</v>
      </c>
    </row>
    <row r="161" spans="1:15" ht="15.6" x14ac:dyDescent="0.3">
      <c r="A161" s="105">
        <v>160</v>
      </c>
      <c r="B161" s="123">
        <v>18.477003040109835</v>
      </c>
      <c r="C161" s="122">
        <v>350</v>
      </c>
      <c r="D161" s="126">
        <v>2</v>
      </c>
      <c r="E161" s="122">
        <v>450</v>
      </c>
      <c r="F161" s="122">
        <v>1200</v>
      </c>
      <c r="G161" s="106">
        <v>1170</v>
      </c>
      <c r="H161" s="102">
        <v>205</v>
      </c>
      <c r="I161" s="126">
        <v>10</v>
      </c>
      <c r="J161" s="106">
        <f t="shared" si="6"/>
        <v>157</v>
      </c>
      <c r="K161">
        <f t="shared" si="7"/>
        <v>2.0933333333333333</v>
      </c>
      <c r="L161">
        <f t="shared" si="8"/>
        <v>2.9074074074074072E-4</v>
      </c>
      <c r="M161" s="122">
        <v>20</v>
      </c>
      <c r="N161">
        <v>0.3</v>
      </c>
    </row>
    <row r="162" spans="1:15" ht="16.2" thickBot="1" x14ac:dyDescent="0.35">
      <c r="A162" s="105">
        <v>161</v>
      </c>
      <c r="B162" s="124">
        <v>18.477003040109835</v>
      </c>
      <c r="C162" s="125">
        <v>400</v>
      </c>
      <c r="D162" s="126">
        <v>2</v>
      </c>
      <c r="E162" s="125">
        <v>450</v>
      </c>
      <c r="F162" s="125">
        <v>1200</v>
      </c>
      <c r="G162" s="106">
        <v>1170</v>
      </c>
      <c r="H162" s="102">
        <v>205</v>
      </c>
      <c r="I162" s="126">
        <v>10</v>
      </c>
      <c r="J162" s="106">
        <f t="shared" si="6"/>
        <v>157</v>
      </c>
      <c r="K162">
        <f t="shared" si="7"/>
        <v>2.0933333333333333</v>
      </c>
      <c r="L162">
        <f t="shared" si="8"/>
        <v>2.9074074074074072E-4</v>
      </c>
      <c r="M162" s="125">
        <v>20</v>
      </c>
      <c r="N162">
        <v>0.3</v>
      </c>
    </row>
    <row r="163" spans="1:15" ht="15.6" x14ac:dyDescent="0.3">
      <c r="A163" s="105">
        <v>162</v>
      </c>
      <c r="B163" s="127">
        <v>18.899999999999999</v>
      </c>
      <c r="C163" s="108">
        <v>421</v>
      </c>
      <c r="D163" s="126">
        <v>4</v>
      </c>
      <c r="E163" s="106">
        <v>350</v>
      </c>
      <c r="F163" s="128">
        <v>450</v>
      </c>
      <c r="G163" s="106">
        <v>236</v>
      </c>
      <c r="H163" s="106">
        <v>236</v>
      </c>
      <c r="I163" s="126">
        <v>12</v>
      </c>
      <c r="J163" s="106">
        <f t="shared" si="6"/>
        <v>452.15999999999997</v>
      </c>
      <c r="K163">
        <f t="shared" si="7"/>
        <v>0.84515887850467286</v>
      </c>
      <c r="L163">
        <f t="shared" si="8"/>
        <v>2.8708571428571424E-3</v>
      </c>
      <c r="M163" s="107">
        <v>82</v>
      </c>
      <c r="N163">
        <v>0.66</v>
      </c>
      <c r="O163" t="s">
        <v>41</v>
      </c>
    </row>
    <row r="164" spans="1:15" ht="15.6" x14ac:dyDescent="0.3">
      <c r="A164" s="105">
        <v>163</v>
      </c>
      <c r="B164" s="102">
        <v>41.4</v>
      </c>
      <c r="C164" s="102">
        <v>379.37999999999994</v>
      </c>
      <c r="D164" s="102">
        <v>5</v>
      </c>
      <c r="E164" s="102">
        <v>284</v>
      </c>
      <c r="F164" s="102">
        <v>300</v>
      </c>
      <c r="G164" s="102">
        <v>273</v>
      </c>
      <c r="H164" s="102">
        <v>45.2</v>
      </c>
      <c r="I164" s="102">
        <v>14</v>
      </c>
      <c r="J164" s="106">
        <f t="shared" ref="J164:J176" si="9">D164*(3.14/4)*I164*I164</f>
        <v>769.30000000000007</v>
      </c>
      <c r="K164">
        <f t="shared" ref="K164:K176" si="10">J164/(2.5*(F164-G164))</f>
        <v>11.397037037037038</v>
      </c>
      <c r="L164">
        <f t="shared" si="8"/>
        <v>9.0293427230046953E-3</v>
      </c>
      <c r="M164" s="102">
        <v>29</v>
      </c>
      <c r="N164" s="102">
        <v>0.10199999999999999</v>
      </c>
      <c r="O164" t="s">
        <v>42</v>
      </c>
    </row>
    <row r="165" spans="1:15" ht="15.6" x14ac:dyDescent="0.3">
      <c r="A165" s="105">
        <v>164</v>
      </c>
      <c r="B165" s="102">
        <v>40.200000000000003</v>
      </c>
      <c r="C165" s="102">
        <v>379.37999999999994</v>
      </c>
      <c r="D165" s="102">
        <v>3</v>
      </c>
      <c r="E165" s="102">
        <v>283</v>
      </c>
      <c r="F165" s="102">
        <v>299</v>
      </c>
      <c r="G165" s="102">
        <v>268</v>
      </c>
      <c r="H165" s="102">
        <v>79</v>
      </c>
      <c r="I165" s="102">
        <v>14</v>
      </c>
      <c r="J165" s="106">
        <f t="shared" si="9"/>
        <v>461.58</v>
      </c>
      <c r="K165">
        <f t="shared" si="10"/>
        <v>5.9558709677419355</v>
      </c>
      <c r="L165">
        <f t="shared" si="8"/>
        <v>5.4549322240211775E-3</v>
      </c>
      <c r="M165" s="102">
        <v>23</v>
      </c>
      <c r="N165" s="102">
        <v>0.14000000000000001</v>
      </c>
    </row>
    <row r="166" spans="1:15" ht="15.6" x14ac:dyDescent="0.3">
      <c r="A166" s="105">
        <v>165</v>
      </c>
      <c r="B166" s="102">
        <v>41.4</v>
      </c>
      <c r="C166" s="102">
        <v>331.8</v>
      </c>
      <c r="D166" s="102">
        <v>2</v>
      </c>
      <c r="E166" s="102">
        <v>280</v>
      </c>
      <c r="F166" s="102">
        <v>300</v>
      </c>
      <c r="G166" s="102">
        <v>267</v>
      </c>
      <c r="H166" s="102">
        <v>116</v>
      </c>
      <c r="I166" s="102">
        <v>22</v>
      </c>
      <c r="J166" s="106">
        <f t="shared" si="9"/>
        <v>759.88</v>
      </c>
      <c r="K166">
        <f t="shared" si="10"/>
        <v>9.2106666666666666</v>
      </c>
      <c r="L166">
        <f t="shared" si="8"/>
        <v>9.0461904761904768E-3</v>
      </c>
      <c r="M166" s="102">
        <v>24</v>
      </c>
      <c r="N166" s="102">
        <v>0.12</v>
      </c>
    </row>
    <row r="167" spans="1:15" ht="15.6" x14ac:dyDescent="0.3">
      <c r="A167" s="105">
        <v>166</v>
      </c>
      <c r="B167" s="102">
        <v>35</v>
      </c>
      <c r="C167" s="102">
        <v>353.4</v>
      </c>
      <c r="D167" s="102">
        <v>12</v>
      </c>
      <c r="E167" s="102">
        <v>271</v>
      </c>
      <c r="F167" s="102">
        <v>303</v>
      </c>
      <c r="G167" s="102">
        <v>280</v>
      </c>
      <c r="H167" s="102">
        <v>16.416666666666668</v>
      </c>
      <c r="I167" s="102">
        <v>8</v>
      </c>
      <c r="J167" s="106">
        <f t="shared" si="9"/>
        <v>602.88</v>
      </c>
      <c r="K167">
        <f t="shared" si="10"/>
        <v>10.484869565217391</v>
      </c>
      <c r="L167">
        <f t="shared" si="8"/>
        <v>7.3420773811698516E-3</v>
      </c>
      <c r="M167" s="102">
        <v>37</v>
      </c>
      <c r="N167" s="102">
        <v>0.06</v>
      </c>
    </row>
    <row r="168" spans="1:15" ht="15.6" x14ac:dyDescent="0.3">
      <c r="A168" s="105">
        <v>167</v>
      </c>
      <c r="B168" s="102">
        <v>40.1</v>
      </c>
      <c r="C168" s="102">
        <v>379.37999999999994</v>
      </c>
      <c r="D168" s="102">
        <v>3</v>
      </c>
      <c r="E168" s="102">
        <v>282</v>
      </c>
      <c r="F168" s="102">
        <v>300</v>
      </c>
      <c r="G168" s="102">
        <v>272</v>
      </c>
      <c r="H168" s="102">
        <v>74.666666666666671</v>
      </c>
      <c r="I168" s="102">
        <v>14</v>
      </c>
      <c r="J168" s="106">
        <f t="shared" si="9"/>
        <v>461.58</v>
      </c>
      <c r="K168">
        <f t="shared" si="10"/>
        <v>6.5939999999999994</v>
      </c>
      <c r="L168">
        <f t="shared" si="8"/>
        <v>5.4560283687943257E-3</v>
      </c>
      <c r="M168" s="102">
        <v>29</v>
      </c>
      <c r="N168" s="102">
        <v>0.12</v>
      </c>
    </row>
    <row r="169" spans="1:15" ht="15.6" x14ac:dyDescent="0.3">
      <c r="A169" s="105">
        <v>168</v>
      </c>
      <c r="B169" s="102">
        <v>39.700000000000003</v>
      </c>
      <c r="C169" s="102">
        <v>346.86</v>
      </c>
      <c r="D169" s="102">
        <v>3</v>
      </c>
      <c r="E169" s="102">
        <v>278</v>
      </c>
      <c r="F169" s="102">
        <v>304</v>
      </c>
      <c r="G169" s="102">
        <v>279</v>
      </c>
      <c r="H169" s="102">
        <v>66</v>
      </c>
      <c r="I169" s="102">
        <v>10</v>
      </c>
      <c r="J169" s="106">
        <f t="shared" si="9"/>
        <v>235.5</v>
      </c>
      <c r="K169">
        <f t="shared" si="10"/>
        <v>3.7679999999999998</v>
      </c>
      <c r="L169">
        <f t="shared" si="8"/>
        <v>2.7865865202574783E-3</v>
      </c>
      <c r="M169" s="102">
        <v>40</v>
      </c>
      <c r="N169" s="102">
        <v>0.14000000000000001</v>
      </c>
    </row>
    <row r="170" spans="1:15" ht="15.6" x14ac:dyDescent="0.3">
      <c r="A170" s="105">
        <v>169</v>
      </c>
      <c r="B170" s="102">
        <v>41.5</v>
      </c>
      <c r="C170" s="102">
        <v>346.86</v>
      </c>
      <c r="D170" s="102">
        <v>3</v>
      </c>
      <c r="E170" s="102">
        <v>283</v>
      </c>
      <c r="F170" s="102">
        <v>298</v>
      </c>
      <c r="G170" s="102">
        <v>274</v>
      </c>
      <c r="H170" s="102">
        <v>73</v>
      </c>
      <c r="I170" s="102">
        <v>10</v>
      </c>
      <c r="J170" s="106">
        <f t="shared" si="9"/>
        <v>235.5</v>
      </c>
      <c r="K170">
        <f t="shared" si="10"/>
        <v>3.9249999999999998</v>
      </c>
      <c r="L170">
        <f t="shared" si="8"/>
        <v>2.7924680437308798E-3</v>
      </c>
      <c r="M170" s="102">
        <v>32</v>
      </c>
      <c r="N170" s="102">
        <v>0.12</v>
      </c>
    </row>
    <row r="171" spans="1:15" ht="15.6" x14ac:dyDescent="0.3">
      <c r="A171" s="105">
        <v>170</v>
      </c>
      <c r="B171" s="102">
        <v>42.9</v>
      </c>
      <c r="C171" s="102">
        <v>346.86</v>
      </c>
      <c r="D171" s="102">
        <v>3</v>
      </c>
      <c r="E171" s="102">
        <v>284</v>
      </c>
      <c r="F171" s="102">
        <v>298</v>
      </c>
      <c r="G171" s="102">
        <v>271</v>
      </c>
      <c r="H171" s="102">
        <v>73.333333333333329</v>
      </c>
      <c r="I171" s="102">
        <v>10</v>
      </c>
      <c r="J171" s="106">
        <f t="shared" si="9"/>
        <v>235.5</v>
      </c>
      <c r="K171">
        <f t="shared" si="10"/>
        <v>3.4888888888888889</v>
      </c>
      <c r="L171">
        <f t="shared" si="8"/>
        <v>2.7826354097740809E-3</v>
      </c>
      <c r="M171" s="102">
        <v>32</v>
      </c>
      <c r="N171" s="102">
        <v>0.14000000000000001</v>
      </c>
    </row>
    <row r="172" spans="1:15" ht="15.6" x14ac:dyDescent="0.3">
      <c r="A172" s="105">
        <v>171</v>
      </c>
      <c r="B172" s="102">
        <v>42.9</v>
      </c>
      <c r="C172" s="102">
        <v>346.86</v>
      </c>
      <c r="D172" s="102">
        <v>3</v>
      </c>
      <c r="E172" s="102">
        <v>279</v>
      </c>
      <c r="F172" s="102">
        <v>303</v>
      </c>
      <c r="G172" s="102">
        <v>277</v>
      </c>
      <c r="H172" s="102">
        <v>60.333333333333336</v>
      </c>
      <c r="I172" s="102">
        <v>10</v>
      </c>
      <c r="J172" s="106">
        <f t="shared" si="9"/>
        <v>235.5</v>
      </c>
      <c r="K172">
        <f t="shared" si="10"/>
        <v>3.6230769230769231</v>
      </c>
      <c r="L172">
        <f t="shared" si="8"/>
        <v>2.785762447212463E-3</v>
      </c>
      <c r="M172" s="102">
        <v>49</v>
      </c>
      <c r="N172" s="102">
        <v>0.14000000000000001</v>
      </c>
    </row>
    <row r="173" spans="1:15" ht="15.6" x14ac:dyDescent="0.3">
      <c r="A173" s="105">
        <v>172</v>
      </c>
      <c r="B173" s="102">
        <v>36.200000000000003</v>
      </c>
      <c r="C173" s="102">
        <v>346.86</v>
      </c>
      <c r="D173" s="102">
        <v>3</v>
      </c>
      <c r="E173" s="102">
        <v>285</v>
      </c>
      <c r="F173" s="102">
        <v>298</v>
      </c>
      <c r="G173" s="102">
        <v>273</v>
      </c>
      <c r="H173" s="102">
        <v>81</v>
      </c>
      <c r="I173" s="102">
        <v>10</v>
      </c>
      <c r="J173" s="106">
        <f t="shared" si="9"/>
        <v>235.5</v>
      </c>
      <c r="K173">
        <f t="shared" si="10"/>
        <v>3.7679999999999998</v>
      </c>
      <c r="L173">
        <f t="shared" si="8"/>
        <v>2.7728717767573296E-3</v>
      </c>
      <c r="M173" s="102">
        <v>21</v>
      </c>
      <c r="N173" s="102">
        <v>0.12</v>
      </c>
    </row>
    <row r="174" spans="1:15" ht="15.6" x14ac:dyDescent="0.3">
      <c r="A174" s="105">
        <v>173</v>
      </c>
      <c r="B174" s="102">
        <v>36.6</v>
      </c>
      <c r="C174" s="102">
        <v>346.86</v>
      </c>
      <c r="D174" s="102">
        <v>3</v>
      </c>
      <c r="E174" s="102">
        <v>284</v>
      </c>
      <c r="F174" s="102">
        <v>298</v>
      </c>
      <c r="G174" s="102">
        <v>271</v>
      </c>
      <c r="H174" s="102">
        <v>80.666666666666671</v>
      </c>
      <c r="I174" s="102">
        <v>10</v>
      </c>
      <c r="J174" s="106">
        <f t="shared" si="9"/>
        <v>235.5</v>
      </c>
      <c r="K174">
        <f t="shared" si="10"/>
        <v>3.4888888888888889</v>
      </c>
      <c r="L174">
        <f t="shared" si="8"/>
        <v>2.7826354097740809E-3</v>
      </c>
      <c r="M174" s="102">
        <v>21</v>
      </c>
      <c r="N174" s="102">
        <v>0.16200000000000001</v>
      </c>
    </row>
    <row r="175" spans="1:15" ht="15.6" x14ac:dyDescent="0.3">
      <c r="A175" s="105">
        <v>174</v>
      </c>
      <c r="B175" s="102">
        <v>41.7</v>
      </c>
      <c r="C175" s="102">
        <v>346.86</v>
      </c>
      <c r="D175" s="102">
        <v>9</v>
      </c>
      <c r="E175" s="102">
        <v>282</v>
      </c>
      <c r="F175" s="102">
        <v>299</v>
      </c>
      <c r="G175" s="102">
        <v>271</v>
      </c>
      <c r="H175" s="102">
        <v>25.777777777777779</v>
      </c>
      <c r="I175" s="102">
        <v>10</v>
      </c>
      <c r="J175" s="106">
        <f t="shared" si="9"/>
        <v>706.5</v>
      </c>
      <c r="K175">
        <f t="shared" si="10"/>
        <v>10.092857142857143</v>
      </c>
      <c r="L175">
        <f t="shared" si="8"/>
        <v>8.3789938091510703E-3</v>
      </c>
      <c r="M175" s="102">
        <v>25</v>
      </c>
      <c r="N175" s="102">
        <v>0.124</v>
      </c>
    </row>
    <row r="176" spans="1:15" ht="15.6" x14ac:dyDescent="0.3">
      <c r="A176" s="105">
        <v>175</v>
      </c>
      <c r="B176" s="102">
        <v>41.4</v>
      </c>
      <c r="C176" s="102">
        <v>351.23999999999995</v>
      </c>
      <c r="D176" s="102">
        <v>15</v>
      </c>
      <c r="E176" s="102">
        <v>279</v>
      </c>
      <c r="F176" s="102">
        <v>301</v>
      </c>
      <c r="G176" s="102">
        <v>275</v>
      </c>
      <c r="H176" s="102">
        <v>14.6</v>
      </c>
      <c r="I176" s="102">
        <v>6</v>
      </c>
      <c r="J176" s="106">
        <f t="shared" si="9"/>
        <v>423.90000000000003</v>
      </c>
      <c r="K176">
        <f t="shared" si="10"/>
        <v>6.5215384615384622</v>
      </c>
      <c r="L176">
        <f t="shared" si="8"/>
        <v>5.0476904940520845E-3</v>
      </c>
      <c r="M176" s="102">
        <v>30</v>
      </c>
      <c r="N176" s="102">
        <v>8.2000000000000003E-2</v>
      </c>
    </row>
    <row r="177" spans="1:15" ht="15.6" x14ac:dyDescent="0.3">
      <c r="A177" s="105">
        <v>176</v>
      </c>
      <c r="B177" s="102">
        <v>28.6</v>
      </c>
      <c r="C177" s="102">
        <v>226</v>
      </c>
      <c r="D177" s="102">
        <v>2</v>
      </c>
      <c r="E177" s="102">
        <v>250</v>
      </c>
      <c r="F177" s="102">
        <v>348</v>
      </c>
      <c r="G177" s="109">
        <v>300</v>
      </c>
      <c r="H177" s="102">
        <v>85</v>
      </c>
      <c r="I177" s="102">
        <v>16</v>
      </c>
      <c r="J177" s="106">
        <f t="shared" ref="J177:J182" si="11">D177*(3.14/4)*I177*I177</f>
        <v>401.92</v>
      </c>
      <c r="K177">
        <f t="shared" ref="K177:K182" si="12">J177/(2.5*(F177-G177))</f>
        <v>3.3493333333333335</v>
      </c>
      <c r="L177">
        <f t="shared" si="8"/>
        <v>4.6197701149425291E-3</v>
      </c>
      <c r="M177" s="102">
        <v>40</v>
      </c>
      <c r="N177" s="102">
        <v>0.13</v>
      </c>
      <c r="O177" t="s">
        <v>43</v>
      </c>
    </row>
    <row r="178" spans="1:15" ht="15.6" x14ac:dyDescent="0.3">
      <c r="A178" s="105">
        <v>177</v>
      </c>
      <c r="B178" s="102">
        <v>29.1</v>
      </c>
      <c r="C178" s="102">
        <v>154</v>
      </c>
      <c r="D178" s="102">
        <v>2</v>
      </c>
      <c r="E178" s="102">
        <v>250</v>
      </c>
      <c r="F178" s="102">
        <v>348</v>
      </c>
      <c r="G178" s="109">
        <v>300</v>
      </c>
      <c r="H178" s="102">
        <v>85</v>
      </c>
      <c r="I178" s="102">
        <v>16</v>
      </c>
      <c r="J178" s="106">
        <f t="shared" si="11"/>
        <v>401.92</v>
      </c>
      <c r="K178">
        <f t="shared" si="12"/>
        <v>3.3493333333333335</v>
      </c>
      <c r="L178">
        <f t="shared" si="8"/>
        <v>4.6197701149425291E-3</v>
      </c>
      <c r="M178" s="102">
        <v>40</v>
      </c>
      <c r="N178" s="102">
        <v>0.05</v>
      </c>
    </row>
    <row r="179" spans="1:15" ht="15.6" x14ac:dyDescent="0.3">
      <c r="A179" s="105">
        <v>178</v>
      </c>
      <c r="B179" s="102">
        <v>28.5</v>
      </c>
      <c r="C179" s="102">
        <v>225</v>
      </c>
      <c r="D179" s="102">
        <v>2</v>
      </c>
      <c r="E179" s="102">
        <v>250</v>
      </c>
      <c r="F179" s="102">
        <v>333</v>
      </c>
      <c r="G179" s="109">
        <v>300</v>
      </c>
      <c r="H179" s="102">
        <v>100</v>
      </c>
      <c r="I179" s="102">
        <v>16</v>
      </c>
      <c r="J179" s="106">
        <f t="shared" si="11"/>
        <v>401.92</v>
      </c>
      <c r="K179">
        <f t="shared" si="12"/>
        <v>4.8717575757575755</v>
      </c>
      <c r="L179">
        <f t="shared" si="8"/>
        <v>4.8278678678678683E-3</v>
      </c>
      <c r="M179" s="102">
        <v>25</v>
      </c>
      <c r="N179" s="102">
        <v>0.1</v>
      </c>
    </row>
    <row r="180" spans="1:15" ht="15.6" x14ac:dyDescent="0.3">
      <c r="A180" s="105">
        <v>179</v>
      </c>
      <c r="B180" s="102">
        <v>28.6</v>
      </c>
      <c r="C180" s="102">
        <v>153</v>
      </c>
      <c r="D180" s="102">
        <v>2</v>
      </c>
      <c r="E180" s="102">
        <v>250</v>
      </c>
      <c r="F180" s="102">
        <v>333</v>
      </c>
      <c r="G180" s="109">
        <v>300</v>
      </c>
      <c r="H180" s="102">
        <v>100</v>
      </c>
      <c r="I180" s="102">
        <v>16</v>
      </c>
      <c r="J180" s="106">
        <f t="shared" si="11"/>
        <v>401.92</v>
      </c>
      <c r="K180">
        <f t="shared" si="12"/>
        <v>4.8717575757575755</v>
      </c>
      <c r="L180">
        <f t="shared" si="8"/>
        <v>4.8278678678678683E-3</v>
      </c>
      <c r="M180" s="102">
        <v>25</v>
      </c>
      <c r="N180" s="102">
        <v>0.05</v>
      </c>
    </row>
    <row r="181" spans="1:15" ht="15.6" x14ac:dyDescent="0.3">
      <c r="A181" s="105">
        <v>180</v>
      </c>
      <c r="B181" s="102">
        <v>29.200000000000003</v>
      </c>
      <c r="C181" s="102">
        <v>213</v>
      </c>
      <c r="D181" s="102">
        <v>3</v>
      </c>
      <c r="E181" s="102">
        <v>250</v>
      </c>
      <c r="F181" s="102">
        <v>333</v>
      </c>
      <c r="G181" s="109">
        <v>300</v>
      </c>
      <c r="H181" s="102">
        <v>66.666666666666671</v>
      </c>
      <c r="I181" s="102">
        <v>16</v>
      </c>
      <c r="J181" s="106">
        <f t="shared" si="11"/>
        <v>602.88</v>
      </c>
      <c r="K181">
        <f t="shared" si="12"/>
        <v>7.3076363636363633</v>
      </c>
      <c r="L181">
        <f t="shared" si="8"/>
        <v>7.241801801801802E-3</v>
      </c>
      <c r="M181" s="102">
        <v>25</v>
      </c>
      <c r="N181" s="102">
        <v>0.08</v>
      </c>
    </row>
    <row r="182" spans="1:15" ht="15.6" x14ac:dyDescent="0.3">
      <c r="A182" s="105">
        <v>181</v>
      </c>
      <c r="B182" s="102">
        <v>29.299999999999997</v>
      </c>
      <c r="C182" s="102">
        <v>128</v>
      </c>
      <c r="D182" s="102">
        <v>3</v>
      </c>
      <c r="E182" s="102">
        <v>250</v>
      </c>
      <c r="F182" s="102">
        <v>333</v>
      </c>
      <c r="G182" s="109">
        <v>300</v>
      </c>
      <c r="H182" s="102">
        <v>66.666666666666671</v>
      </c>
      <c r="I182" s="102">
        <v>16</v>
      </c>
      <c r="J182" s="106">
        <f t="shared" si="11"/>
        <v>602.88</v>
      </c>
      <c r="K182">
        <f t="shared" si="12"/>
        <v>7.3076363636363633</v>
      </c>
      <c r="L182">
        <f t="shared" si="8"/>
        <v>7.241801801801802E-3</v>
      </c>
      <c r="M182" s="102">
        <v>25</v>
      </c>
      <c r="N182" s="102">
        <v>0.05</v>
      </c>
    </row>
    <row r="183" spans="1:15" ht="15.6" x14ac:dyDescent="0.3">
      <c r="A183" s="105"/>
      <c r="B183" s="102"/>
      <c r="C183" s="102"/>
      <c r="D183" s="102"/>
      <c r="E183" s="102"/>
      <c r="F183" s="102"/>
      <c r="G183" s="102"/>
      <c r="H183" s="102"/>
      <c r="I183" s="102"/>
      <c r="J183" s="106"/>
      <c r="M183" s="102"/>
    </row>
    <row r="184" spans="1:15" ht="15.6" x14ac:dyDescent="0.3">
      <c r="A184" s="105"/>
      <c r="B184" s="102"/>
      <c r="C184" s="102"/>
      <c r="D184" s="102"/>
      <c r="E184" s="102"/>
      <c r="F184" s="102"/>
      <c r="G184" s="102"/>
      <c r="H184" s="102"/>
      <c r="I184" s="102"/>
      <c r="J184" s="106"/>
      <c r="M184" s="102"/>
    </row>
    <row r="185" spans="1:15" ht="15.6" x14ac:dyDescent="0.3">
      <c r="A185" s="105"/>
      <c r="B185" s="102"/>
      <c r="C185" s="102"/>
      <c r="D185" s="102"/>
      <c r="E185" s="102"/>
      <c r="F185" s="102"/>
      <c r="G185" s="102"/>
      <c r="H185" s="102"/>
      <c r="I185" s="102"/>
      <c r="J185" s="106"/>
      <c r="M185" s="102"/>
    </row>
    <row r="186" spans="1:15" ht="15.6" x14ac:dyDescent="0.3">
      <c r="A186" s="105"/>
      <c r="B186" s="102"/>
      <c r="C186" s="102"/>
      <c r="D186" s="102"/>
      <c r="E186" s="102"/>
      <c r="F186" s="102"/>
      <c r="G186" s="102"/>
      <c r="H186" s="102"/>
      <c r="I186" s="102"/>
      <c r="J186" s="106"/>
      <c r="M186" s="102"/>
    </row>
    <row r="187" spans="1:15" ht="15.6" x14ac:dyDescent="0.3">
      <c r="A187" s="105"/>
      <c r="B187" s="102"/>
      <c r="C187" s="102"/>
      <c r="D187" s="102"/>
      <c r="E187" s="102"/>
      <c r="F187" s="102"/>
      <c r="G187" s="102"/>
      <c r="H187" s="102"/>
      <c r="I187" s="102"/>
      <c r="J187" s="106"/>
      <c r="M187" s="102"/>
    </row>
    <row r="188" spans="1:15" ht="15.6" x14ac:dyDescent="0.3">
      <c r="A188" s="105"/>
      <c r="B188" s="102"/>
      <c r="C188" s="102"/>
      <c r="D188" s="102"/>
      <c r="E188" s="102"/>
      <c r="F188" s="102"/>
      <c r="G188" s="102"/>
      <c r="H188" s="102"/>
      <c r="I188" s="102"/>
      <c r="J188" s="106"/>
      <c r="M188" s="102"/>
    </row>
    <row r="189" spans="1:15" ht="15.6" x14ac:dyDescent="0.3">
      <c r="A189" s="105"/>
      <c r="B189" s="102"/>
      <c r="C189" s="102"/>
      <c r="D189" s="102"/>
      <c r="E189" s="102"/>
      <c r="F189" s="102"/>
      <c r="G189" s="102"/>
      <c r="H189" s="102"/>
      <c r="I189" s="102"/>
      <c r="J189" s="106"/>
      <c r="M189" s="102"/>
    </row>
    <row r="190" spans="1:15" ht="15.6" x14ac:dyDescent="0.3">
      <c r="A190" s="105"/>
      <c r="C190" s="108"/>
      <c r="E190" s="106"/>
      <c r="G190" s="106"/>
      <c r="H190" s="106"/>
      <c r="J190" s="106"/>
    </row>
    <row r="191" spans="1:15" ht="15.6" x14ac:dyDescent="0.3">
      <c r="A191" s="105"/>
      <c r="C191" s="108"/>
      <c r="E191" s="106"/>
      <c r="G191" s="106"/>
      <c r="H191" s="106"/>
      <c r="J191" s="106"/>
    </row>
    <row r="192" spans="1:15" ht="15.6" x14ac:dyDescent="0.3">
      <c r="A192" s="105"/>
      <c r="C192" s="108"/>
      <c r="E192" s="106"/>
      <c r="G192" s="106"/>
      <c r="H192" s="106"/>
      <c r="J192" s="106"/>
    </row>
    <row r="193" spans="1:10" ht="15.6" x14ac:dyDescent="0.3">
      <c r="A193" s="105"/>
      <c r="C193" s="108"/>
      <c r="E193" s="106"/>
      <c r="G193" s="106"/>
      <c r="H193" s="106"/>
      <c r="J193" s="106"/>
    </row>
    <row r="194" spans="1:10" ht="15.6" x14ac:dyDescent="0.3">
      <c r="A194" s="105"/>
      <c r="C194" s="108"/>
      <c r="E194" s="106"/>
      <c r="G194" s="106"/>
      <c r="H194" s="106"/>
      <c r="J194" s="106"/>
    </row>
    <row r="195" spans="1:10" ht="15.6" x14ac:dyDescent="0.3">
      <c r="A195" s="105"/>
      <c r="C195" s="108"/>
      <c r="E195" s="106"/>
      <c r="G195" s="106"/>
      <c r="H195" s="106"/>
      <c r="J195" s="106"/>
    </row>
    <row r="196" spans="1:10" ht="15.6" x14ac:dyDescent="0.3">
      <c r="A196" s="105"/>
      <c r="C196" s="108"/>
      <c r="E196" s="106"/>
      <c r="G196" s="106"/>
      <c r="H196" s="106"/>
      <c r="J196" s="106"/>
    </row>
    <row r="197" spans="1:10" ht="15.6" x14ac:dyDescent="0.3">
      <c r="A197" s="105"/>
      <c r="C197" s="108"/>
      <c r="E197" s="106"/>
      <c r="G197" s="106"/>
      <c r="H197" s="106"/>
      <c r="J197" s="106"/>
    </row>
    <row r="198" spans="1:10" ht="15.6" x14ac:dyDescent="0.3">
      <c r="A198" s="105"/>
      <c r="C198" s="108"/>
      <c r="E198" s="106"/>
      <c r="G198" s="106"/>
      <c r="H198" s="106"/>
      <c r="J198" s="106"/>
    </row>
    <row r="199" spans="1:10" ht="15.6" x14ac:dyDescent="0.3">
      <c r="A199" s="105"/>
      <c r="C199" s="108"/>
      <c r="E199" s="106"/>
      <c r="G199" s="106"/>
      <c r="H199" s="106"/>
      <c r="J199" s="106"/>
    </row>
    <row r="200" spans="1:10" ht="15.6" x14ac:dyDescent="0.3">
      <c r="A200" s="110"/>
      <c r="C200" s="111"/>
      <c r="E200" s="106"/>
      <c r="G200" s="112"/>
      <c r="H200" s="106"/>
      <c r="J200" s="106"/>
    </row>
    <row r="201" spans="1:10" ht="15.6" x14ac:dyDescent="0.3">
      <c r="A201" s="105"/>
      <c r="C201" s="108"/>
      <c r="E201" s="106"/>
      <c r="G201" s="106"/>
      <c r="H201" s="106"/>
      <c r="J201" s="106"/>
    </row>
    <row r="202" spans="1:10" ht="15.6" x14ac:dyDescent="0.3">
      <c r="A202" s="105"/>
      <c r="C202" s="108"/>
      <c r="E202" s="106"/>
      <c r="G202" s="106"/>
      <c r="H202" s="106"/>
      <c r="J202" s="106"/>
    </row>
    <row r="203" spans="1:10" ht="15.6" x14ac:dyDescent="0.3">
      <c r="A203" s="105"/>
      <c r="C203" s="108"/>
      <c r="E203" s="106"/>
      <c r="G203" s="106"/>
      <c r="H203" s="106"/>
      <c r="J203" s="106"/>
    </row>
    <row r="204" spans="1:10" ht="15.6" x14ac:dyDescent="0.3">
      <c r="A204" s="105"/>
      <c r="C204" s="108"/>
      <c r="E204" s="106"/>
      <c r="G204" s="106"/>
      <c r="H204" s="106"/>
      <c r="J204" s="106"/>
    </row>
    <row r="205" spans="1:10" ht="15.6" x14ac:dyDescent="0.3">
      <c r="A205" s="105"/>
      <c r="C205" s="108"/>
      <c r="E205" s="106"/>
      <c r="G205" s="106"/>
      <c r="H205" s="106"/>
      <c r="J205" s="106"/>
    </row>
    <row r="206" spans="1:10" ht="15.6" x14ac:dyDescent="0.3">
      <c r="A206" s="105"/>
      <c r="C206" s="108"/>
      <c r="E206" s="106"/>
      <c r="G206" s="106"/>
      <c r="H206" s="106"/>
      <c r="J206" s="106"/>
    </row>
    <row r="207" spans="1:10" ht="15.6" x14ac:dyDescent="0.3">
      <c r="A207" s="105"/>
      <c r="C207" s="108"/>
      <c r="E207" s="106"/>
      <c r="G207" s="106"/>
      <c r="H207" s="106"/>
      <c r="J207" s="106"/>
    </row>
    <row r="208" spans="1:10" ht="15.6" x14ac:dyDescent="0.3">
      <c r="A208" s="105"/>
      <c r="C208" s="108"/>
      <c r="E208" s="106"/>
      <c r="G208" s="106"/>
      <c r="H208" s="106"/>
      <c r="J208" s="106"/>
    </row>
    <row r="209" spans="1:10" ht="15.6" x14ac:dyDescent="0.3">
      <c r="A209" s="105"/>
      <c r="C209" s="108"/>
      <c r="E209" s="106"/>
      <c r="G209" s="106"/>
      <c r="H209" s="106"/>
      <c r="J209" s="106"/>
    </row>
    <row r="210" spans="1:10" ht="15.6" x14ac:dyDescent="0.3">
      <c r="A210" s="105"/>
      <c r="C210" s="108"/>
      <c r="E210" s="106"/>
      <c r="G210" s="106"/>
      <c r="H210" s="106"/>
      <c r="J210" s="106"/>
    </row>
    <row r="211" spans="1:10" ht="15.6" x14ac:dyDescent="0.3">
      <c r="A211" s="105"/>
      <c r="C211" s="108"/>
      <c r="E211" s="106"/>
      <c r="G211" s="106"/>
      <c r="H211" s="106"/>
      <c r="J211" s="106"/>
    </row>
    <row r="212" spans="1:10" ht="15.6" x14ac:dyDescent="0.3">
      <c r="A212" s="105"/>
      <c r="C212" s="108"/>
      <c r="E212" s="106"/>
      <c r="G212" s="106"/>
      <c r="H212" s="106"/>
      <c r="J212" s="106"/>
    </row>
    <row r="213" spans="1:10" ht="15.6" x14ac:dyDescent="0.3">
      <c r="A213" s="105"/>
      <c r="C213" s="108"/>
      <c r="E213" s="106"/>
      <c r="G213" s="106"/>
      <c r="H213" s="106"/>
      <c r="J213" s="106"/>
    </row>
    <row r="214" spans="1:10" ht="15.6" x14ac:dyDescent="0.3">
      <c r="A214" s="105"/>
      <c r="C214" s="108"/>
      <c r="E214" s="106"/>
      <c r="G214" s="106"/>
      <c r="H214" s="106"/>
      <c r="J214" s="106"/>
    </row>
    <row r="215" spans="1:10" ht="15.6" x14ac:dyDescent="0.3">
      <c r="A215" s="105"/>
      <c r="C215" s="108"/>
      <c r="E215" s="106"/>
      <c r="G215" s="106"/>
      <c r="H215" s="106"/>
      <c r="J215" s="106"/>
    </row>
    <row r="216" spans="1:10" ht="15.6" x14ac:dyDescent="0.3">
      <c r="A216" s="105"/>
      <c r="C216" s="108"/>
      <c r="E216" s="106"/>
      <c r="G216" s="106"/>
      <c r="H216" s="106"/>
      <c r="J216" s="106"/>
    </row>
    <row r="217" spans="1:10" ht="15.6" x14ac:dyDescent="0.3">
      <c r="A217" s="105"/>
      <c r="C217" s="108"/>
      <c r="E217" s="106"/>
      <c r="G217" s="106"/>
      <c r="H217" s="106"/>
      <c r="J217" s="106"/>
    </row>
    <row r="218" spans="1:10" ht="15.6" x14ac:dyDescent="0.3">
      <c r="A218" s="105"/>
      <c r="C218" s="108"/>
      <c r="E218" s="106"/>
      <c r="G218" s="106"/>
      <c r="H218" s="106"/>
      <c r="J218" s="106"/>
    </row>
    <row r="219" spans="1:10" ht="15.6" x14ac:dyDescent="0.3">
      <c r="A219" s="105"/>
      <c r="C219" s="108"/>
      <c r="E219" s="106"/>
      <c r="G219" s="106"/>
      <c r="H219" s="106"/>
      <c r="J219" s="106"/>
    </row>
    <row r="220" spans="1:10" ht="15.6" x14ac:dyDescent="0.3">
      <c r="A220" s="105"/>
      <c r="C220" s="108"/>
      <c r="E220" s="106"/>
      <c r="G220" s="106"/>
      <c r="H220" s="106"/>
      <c r="J220" s="106"/>
    </row>
    <row r="221" spans="1:10" ht="15.6" x14ac:dyDescent="0.3">
      <c r="A221" s="105"/>
      <c r="C221" s="108"/>
      <c r="E221" s="106"/>
      <c r="G221" s="106"/>
      <c r="H221" s="106"/>
      <c r="J221" s="106"/>
    </row>
    <row r="222" spans="1:10" ht="15.6" x14ac:dyDescent="0.3">
      <c r="A222" s="105"/>
      <c r="C222" s="108"/>
      <c r="E222" s="106"/>
      <c r="G222" s="106"/>
      <c r="H222" s="106"/>
      <c r="J222" s="106"/>
    </row>
    <row r="223" spans="1:10" ht="15.6" x14ac:dyDescent="0.3">
      <c r="A223" s="105"/>
      <c r="C223" s="108"/>
      <c r="E223" s="106"/>
      <c r="G223" s="106"/>
      <c r="H223" s="106"/>
      <c r="J223" s="106"/>
    </row>
    <row r="224" spans="1:10" ht="15.6" x14ac:dyDescent="0.3">
      <c r="A224" s="105"/>
      <c r="C224" s="108"/>
      <c r="E224" s="106"/>
      <c r="G224" s="106"/>
      <c r="H224" s="106"/>
      <c r="J224" s="106"/>
    </row>
    <row r="225" spans="1:10" ht="15.6" x14ac:dyDescent="0.3">
      <c r="A225" s="105"/>
      <c r="C225" s="108"/>
      <c r="E225" s="106"/>
      <c r="G225" s="112"/>
      <c r="H225" s="106"/>
      <c r="J225" s="106"/>
    </row>
    <row r="226" spans="1:10" ht="15.6" x14ac:dyDescent="0.3">
      <c r="A226" s="105"/>
      <c r="C226" s="108"/>
      <c r="E226" s="106"/>
      <c r="G226" s="106"/>
      <c r="H226" s="106"/>
      <c r="J226" s="106"/>
    </row>
    <row r="227" spans="1:10" ht="15.6" x14ac:dyDescent="0.3">
      <c r="A227" s="105"/>
      <c r="C227" s="108"/>
      <c r="E227" s="106"/>
      <c r="G227" s="106"/>
      <c r="H227" s="106"/>
      <c r="J227" s="106"/>
    </row>
    <row r="228" spans="1:10" ht="15.6" x14ac:dyDescent="0.3">
      <c r="A228" s="105"/>
      <c r="C228" s="108"/>
      <c r="E228" s="106"/>
      <c r="G228" s="106"/>
      <c r="H228" s="106"/>
      <c r="J228" s="106"/>
    </row>
    <row r="229" spans="1:10" ht="15.6" x14ac:dyDescent="0.3">
      <c r="A229" s="105"/>
      <c r="C229" s="108"/>
      <c r="E229" s="106"/>
      <c r="G229" s="106"/>
      <c r="H229" s="106"/>
      <c r="J229" s="106"/>
    </row>
    <row r="230" spans="1:10" ht="15.6" x14ac:dyDescent="0.3">
      <c r="A230" s="105"/>
      <c r="C230" s="108"/>
      <c r="E230" s="106"/>
      <c r="G230" s="106"/>
      <c r="H230" s="106"/>
      <c r="J230" s="106"/>
    </row>
    <row r="231" spans="1:10" ht="15.6" x14ac:dyDescent="0.3">
      <c r="A231" s="105"/>
      <c r="C231" s="108"/>
      <c r="E231" s="106"/>
      <c r="G231" s="106"/>
      <c r="H231" s="106"/>
      <c r="J231" s="106"/>
    </row>
    <row r="232" spans="1:10" ht="15.6" x14ac:dyDescent="0.3">
      <c r="A232" s="105"/>
      <c r="C232" s="108"/>
      <c r="E232" s="106"/>
      <c r="G232" s="106"/>
      <c r="H232" s="106"/>
      <c r="J232" s="106"/>
    </row>
    <row r="233" spans="1:10" ht="15.6" x14ac:dyDescent="0.3">
      <c r="A233" s="105"/>
      <c r="C233" s="108"/>
      <c r="E233" s="106"/>
      <c r="G233" s="106"/>
      <c r="H233" s="106"/>
      <c r="J233" s="106"/>
    </row>
    <row r="234" spans="1:10" ht="15.6" x14ac:dyDescent="0.3">
      <c r="A234" s="105"/>
      <c r="C234" s="108"/>
      <c r="E234" s="106"/>
      <c r="G234" s="106"/>
      <c r="H234" s="106"/>
      <c r="J234" s="106"/>
    </row>
    <row r="235" spans="1:10" ht="15.6" x14ac:dyDescent="0.3">
      <c r="A235" s="105"/>
      <c r="C235" s="108"/>
      <c r="E235" s="106"/>
      <c r="G235" s="106"/>
      <c r="H235" s="106"/>
      <c r="J235" s="106"/>
    </row>
    <row r="236" spans="1:10" ht="15.6" x14ac:dyDescent="0.3">
      <c r="A236" s="105"/>
      <c r="C236" s="108"/>
      <c r="E236" s="106"/>
      <c r="G236" s="106"/>
      <c r="H236" s="106"/>
      <c r="J236" s="106"/>
    </row>
    <row r="237" spans="1:10" ht="15.6" x14ac:dyDescent="0.3">
      <c r="A237" s="105"/>
      <c r="C237" s="108"/>
      <c r="E237" s="106"/>
      <c r="G237" s="106"/>
      <c r="H237" s="106"/>
      <c r="J237" s="106"/>
    </row>
    <row r="238" spans="1:10" ht="15.6" x14ac:dyDescent="0.3">
      <c r="A238" s="105"/>
      <c r="C238" s="108"/>
      <c r="E238" s="106"/>
      <c r="G238" s="106"/>
      <c r="H238" s="106"/>
      <c r="J238" s="106"/>
    </row>
    <row r="239" spans="1:10" ht="15.6" x14ac:dyDescent="0.3">
      <c r="A239" s="105"/>
      <c r="C239" s="108"/>
      <c r="E239" s="106"/>
      <c r="G239" s="106"/>
      <c r="H239" s="106"/>
      <c r="J239" s="106"/>
    </row>
    <row r="240" spans="1:10" ht="15.6" x14ac:dyDescent="0.3">
      <c r="A240" s="105"/>
      <c r="C240" s="108"/>
      <c r="E240" s="106"/>
      <c r="G240" s="106"/>
      <c r="H240" s="106"/>
      <c r="J240" s="106"/>
    </row>
    <row r="241" spans="1:10" ht="15.6" x14ac:dyDescent="0.3">
      <c r="A241" s="105"/>
      <c r="C241" s="108"/>
      <c r="E241" s="106"/>
      <c r="G241" s="106"/>
      <c r="H241" s="106"/>
      <c r="J241" s="106"/>
    </row>
    <row r="242" spans="1:10" ht="15.6" x14ac:dyDescent="0.3">
      <c r="A242" s="105"/>
      <c r="C242" s="108"/>
      <c r="E242" s="106"/>
      <c r="G242" s="106"/>
      <c r="H242" s="106"/>
      <c r="J242" s="106"/>
    </row>
    <row r="243" spans="1:10" ht="15.6" x14ac:dyDescent="0.3">
      <c r="A243" s="105"/>
      <c r="C243" s="108"/>
      <c r="E243" s="106"/>
      <c r="G243" s="106"/>
      <c r="H243" s="106"/>
      <c r="J243" s="106"/>
    </row>
    <row r="244" spans="1:10" ht="15.6" x14ac:dyDescent="0.3">
      <c r="A244" s="105"/>
      <c r="C244" s="108"/>
      <c r="E244" s="106"/>
      <c r="G244" s="106"/>
      <c r="H244" s="106"/>
      <c r="J244" s="106"/>
    </row>
    <row r="245" spans="1:10" ht="15.6" x14ac:dyDescent="0.3">
      <c r="A245" s="105"/>
      <c r="C245" s="108"/>
      <c r="E245" s="106"/>
      <c r="G245" s="106"/>
      <c r="H245" s="106"/>
      <c r="J245" s="106"/>
    </row>
    <row r="246" spans="1:10" ht="15.6" x14ac:dyDescent="0.3">
      <c r="A246" s="105"/>
      <c r="C246" s="108"/>
      <c r="E246" s="106"/>
      <c r="G246" s="106"/>
      <c r="H246" s="106"/>
      <c r="J246" s="106"/>
    </row>
    <row r="247" spans="1:10" ht="15.6" x14ac:dyDescent="0.3">
      <c r="A247" s="105"/>
      <c r="C247" s="108"/>
      <c r="E247" s="106"/>
      <c r="G247" s="106"/>
      <c r="H247" s="106"/>
      <c r="J247" s="106"/>
    </row>
    <row r="248" spans="1:10" ht="15.6" x14ac:dyDescent="0.3">
      <c r="A248" s="105"/>
      <c r="C248" s="108"/>
      <c r="E248" s="106"/>
      <c r="G248" s="106"/>
      <c r="H248" s="106"/>
      <c r="J248" s="106"/>
    </row>
    <row r="249" spans="1:10" ht="15.6" x14ac:dyDescent="0.3">
      <c r="A249" s="105"/>
      <c r="C249" s="108"/>
      <c r="E249" s="106"/>
      <c r="G249" s="106"/>
      <c r="H249" s="106"/>
      <c r="J249" s="106"/>
    </row>
    <row r="250" spans="1:10" ht="15.6" x14ac:dyDescent="0.3">
      <c r="A250" s="105"/>
      <c r="C250" s="108"/>
      <c r="E250" s="106"/>
      <c r="G250" s="112"/>
      <c r="H250" s="106"/>
      <c r="J250" s="106"/>
    </row>
    <row r="251" spans="1:10" ht="15.6" x14ac:dyDescent="0.3">
      <c r="A251" s="105"/>
      <c r="C251" s="108"/>
      <c r="E251" s="106"/>
      <c r="G251" s="106"/>
      <c r="H251" s="106"/>
      <c r="J251" s="106"/>
    </row>
    <row r="252" spans="1:10" ht="15.6" x14ac:dyDescent="0.3">
      <c r="A252" s="105"/>
      <c r="C252" s="108"/>
      <c r="E252" s="106"/>
      <c r="G252" s="106"/>
      <c r="H252" s="106"/>
      <c r="J252" s="106"/>
    </row>
    <row r="253" spans="1:10" ht="15.6" x14ac:dyDescent="0.3">
      <c r="A253" s="105"/>
      <c r="C253" s="108"/>
      <c r="E253" s="106"/>
      <c r="G253" s="106"/>
      <c r="H253" s="106"/>
      <c r="J253" s="106"/>
    </row>
    <row r="254" spans="1:10" ht="15.6" x14ac:dyDescent="0.3">
      <c r="A254" s="105"/>
      <c r="C254" s="108"/>
      <c r="E254" s="106"/>
      <c r="G254" s="106"/>
      <c r="H254" s="106"/>
      <c r="J254" s="106"/>
    </row>
    <row r="255" spans="1:10" ht="15.6" x14ac:dyDescent="0.3">
      <c r="A255" s="105"/>
      <c r="C255" s="108"/>
      <c r="E255" s="106"/>
      <c r="G255" s="106"/>
      <c r="H255" s="106"/>
      <c r="J255" s="106"/>
    </row>
    <row r="256" spans="1:10" ht="15.6" x14ac:dyDescent="0.3">
      <c r="A256" s="105"/>
      <c r="C256" s="108"/>
      <c r="E256" s="106"/>
      <c r="G256" s="106"/>
      <c r="H256" s="106"/>
      <c r="J256" s="106"/>
    </row>
    <row r="257" spans="1:13" ht="15.6" x14ac:dyDescent="0.3">
      <c r="A257" s="105"/>
      <c r="C257" s="108"/>
      <c r="E257" s="106"/>
      <c r="G257" s="106"/>
      <c r="H257" s="106"/>
      <c r="J257" s="106"/>
    </row>
    <row r="258" spans="1:13" ht="15.6" x14ac:dyDescent="0.3">
      <c r="A258" s="105"/>
      <c r="C258" s="108"/>
      <c r="E258" s="106"/>
      <c r="G258" s="106"/>
      <c r="H258" s="106"/>
      <c r="J258" s="106"/>
    </row>
    <row r="259" spans="1:13" ht="15.6" x14ac:dyDescent="0.3">
      <c r="A259" s="105"/>
      <c r="C259" s="108"/>
      <c r="E259" s="106"/>
      <c r="G259" s="106"/>
      <c r="H259" s="106"/>
      <c r="J259" s="106"/>
    </row>
    <row r="260" spans="1:13" ht="15.6" x14ac:dyDescent="0.3">
      <c r="A260" s="105"/>
      <c r="C260" s="108"/>
      <c r="E260" s="106"/>
      <c r="G260" s="106"/>
      <c r="H260" s="106"/>
      <c r="J260" s="106"/>
    </row>
    <row r="261" spans="1:13" ht="15.6" x14ac:dyDescent="0.3">
      <c r="A261" s="105"/>
      <c r="C261" s="108"/>
      <c r="E261" s="106"/>
      <c r="G261" s="106"/>
      <c r="H261" s="106"/>
      <c r="J261" s="106"/>
    </row>
    <row r="262" spans="1:13" ht="15.6" x14ac:dyDescent="0.3">
      <c r="A262" s="105"/>
      <c r="C262" s="108"/>
      <c r="E262" s="106"/>
      <c r="G262" s="106"/>
      <c r="H262" s="106"/>
      <c r="J262" s="106"/>
    </row>
    <row r="263" spans="1:13" ht="15.6" x14ac:dyDescent="0.3">
      <c r="A263" s="105"/>
      <c r="C263" s="108"/>
      <c r="E263" s="106"/>
      <c r="G263" s="106"/>
      <c r="H263" s="106"/>
      <c r="J263" s="106"/>
    </row>
    <row r="264" spans="1:13" ht="15.6" x14ac:dyDescent="0.3">
      <c r="A264" s="105"/>
      <c r="C264" s="108"/>
      <c r="E264" s="106"/>
      <c r="G264" s="106"/>
      <c r="H264" s="106"/>
      <c r="J264" s="106"/>
    </row>
    <row r="265" spans="1:13" ht="15.6" x14ac:dyDescent="0.3">
      <c r="A265" s="105"/>
      <c r="C265" s="108"/>
      <c r="E265" s="106"/>
      <c r="G265" s="106"/>
      <c r="H265" s="106"/>
      <c r="J265" s="106"/>
    </row>
    <row r="266" spans="1:13" ht="15.6" x14ac:dyDescent="0.3">
      <c r="A266" s="105"/>
      <c r="C266" s="108"/>
      <c r="E266" s="106"/>
      <c r="G266" s="106"/>
      <c r="H266" s="106"/>
      <c r="J266" s="106"/>
    </row>
    <row r="267" spans="1:13" ht="15.6" x14ac:dyDescent="0.3">
      <c r="A267" s="105"/>
      <c r="C267" s="108"/>
      <c r="E267" s="106"/>
      <c r="G267" s="106"/>
      <c r="H267" s="106"/>
      <c r="J267" s="106"/>
    </row>
    <row r="268" spans="1:13" ht="15.6" x14ac:dyDescent="0.3">
      <c r="A268" s="105"/>
      <c r="C268" s="108"/>
      <c r="E268" s="106"/>
      <c r="G268" s="106"/>
      <c r="H268" s="106"/>
      <c r="J268" s="106"/>
    </row>
    <row r="269" spans="1:13" ht="15.6" x14ac:dyDescent="0.3">
      <c r="A269" s="105"/>
      <c r="C269" s="108"/>
      <c r="E269" s="106"/>
      <c r="G269" s="106"/>
      <c r="H269" s="106"/>
      <c r="J269" s="106"/>
      <c r="M269" s="109"/>
    </row>
    <row r="270" spans="1:13" ht="15.6" x14ac:dyDescent="0.3">
      <c r="A270" s="105"/>
      <c r="C270" s="108"/>
      <c r="E270" s="106"/>
      <c r="G270" s="106"/>
      <c r="H270" s="106"/>
      <c r="J270" s="106"/>
    </row>
    <row r="271" spans="1:13" ht="15.6" x14ac:dyDescent="0.3">
      <c r="A271" s="105"/>
      <c r="C271" s="108"/>
      <c r="E271" s="106"/>
      <c r="G271" s="106"/>
      <c r="H271" s="106"/>
      <c r="J271" s="106"/>
    </row>
    <row r="272" spans="1:13" ht="15.6" x14ac:dyDescent="0.3">
      <c r="A272" s="105"/>
      <c r="C272" s="108"/>
      <c r="E272" s="106"/>
      <c r="G272" s="106"/>
      <c r="H272" s="106"/>
      <c r="J272" s="106"/>
    </row>
    <row r="273" spans="1:10" ht="15.6" x14ac:dyDescent="0.3">
      <c r="A273" s="105"/>
      <c r="C273" s="108"/>
      <c r="E273" s="106"/>
      <c r="G273" s="106"/>
      <c r="H273" s="106"/>
      <c r="J273" s="106"/>
    </row>
    <row r="274" spans="1:10" ht="15.6" x14ac:dyDescent="0.3">
      <c r="A274" s="105"/>
      <c r="C274" s="108"/>
      <c r="E274" s="106"/>
      <c r="G274" s="106"/>
      <c r="H274" s="106"/>
      <c r="J274" s="106"/>
    </row>
    <row r="275" spans="1:10" x14ac:dyDescent="0.3">
      <c r="A275" s="106"/>
      <c r="C275" s="107"/>
      <c r="E275" s="106"/>
      <c r="G275" s="112"/>
      <c r="H275" s="106"/>
      <c r="J275" s="106"/>
    </row>
    <row r="276" spans="1:10" x14ac:dyDescent="0.3">
      <c r="A276" s="106"/>
      <c r="C276" s="107"/>
      <c r="E276" s="106"/>
      <c r="H276" s="106"/>
      <c r="J276" s="106"/>
    </row>
    <row r="277" spans="1:10" x14ac:dyDescent="0.3">
      <c r="A277" s="106"/>
      <c r="C277" s="107"/>
      <c r="E277" s="106"/>
      <c r="H277" s="106"/>
      <c r="J277" s="106"/>
    </row>
    <row r="278" spans="1:10" x14ac:dyDescent="0.3">
      <c r="A278" s="106"/>
      <c r="C278" s="107"/>
      <c r="E278" s="106"/>
      <c r="H278" s="106"/>
      <c r="J278" s="106"/>
    </row>
    <row r="279" spans="1:10" x14ac:dyDescent="0.3">
      <c r="A279" s="106"/>
      <c r="C279" s="107"/>
      <c r="E279" s="106"/>
      <c r="H279" s="106"/>
      <c r="J279" s="106"/>
    </row>
    <row r="280" spans="1:10" x14ac:dyDescent="0.3">
      <c r="A280" s="106"/>
      <c r="C280" s="107"/>
      <c r="E280" s="106"/>
      <c r="H280" s="106"/>
      <c r="J280" s="106"/>
    </row>
    <row r="281" spans="1:10" x14ac:dyDescent="0.3">
      <c r="A281" s="106"/>
      <c r="C281" s="107"/>
      <c r="E281" s="106"/>
      <c r="H281" s="106"/>
      <c r="J281" s="106"/>
    </row>
    <row r="282" spans="1:10" x14ac:dyDescent="0.3">
      <c r="A282" s="106"/>
      <c r="C282" s="107"/>
      <c r="E282" s="106"/>
      <c r="H282" s="106"/>
      <c r="J282" s="106"/>
    </row>
    <row r="283" spans="1:10" x14ac:dyDescent="0.3">
      <c r="A283" s="106"/>
      <c r="C283" s="107"/>
      <c r="E283" s="106"/>
      <c r="H283" s="106"/>
      <c r="J283" s="106"/>
    </row>
    <row r="284" spans="1:10" x14ac:dyDescent="0.3">
      <c r="A284" s="106"/>
      <c r="C284" s="107"/>
      <c r="E284" s="106"/>
      <c r="H284" s="106"/>
      <c r="J284" s="106"/>
    </row>
    <row r="285" spans="1:10" x14ac:dyDescent="0.3">
      <c r="A285" s="106"/>
      <c r="C285" s="107"/>
      <c r="E285" s="106"/>
      <c r="H285" s="106"/>
      <c r="J285" s="106"/>
    </row>
    <row r="286" spans="1:10" x14ac:dyDescent="0.3">
      <c r="A286" s="106"/>
      <c r="C286" s="107"/>
      <c r="E286" s="106"/>
      <c r="H286" s="106"/>
      <c r="J286" s="106"/>
    </row>
    <row r="287" spans="1:10" x14ac:dyDescent="0.3">
      <c r="A287" s="106"/>
      <c r="C287" s="107"/>
      <c r="E287" s="106"/>
      <c r="H287" s="106"/>
      <c r="J287" s="106"/>
    </row>
    <row r="288" spans="1:10" x14ac:dyDescent="0.3">
      <c r="A288" s="106"/>
      <c r="C288" s="107"/>
      <c r="E288" s="106"/>
      <c r="H288" s="106"/>
      <c r="J288" s="106"/>
    </row>
    <row r="289" spans="1:13" x14ac:dyDescent="0.3">
      <c r="A289" s="106"/>
      <c r="C289" s="107"/>
      <c r="E289" s="106"/>
      <c r="H289" s="106"/>
      <c r="J289" s="106"/>
    </row>
    <row r="290" spans="1:13" x14ac:dyDescent="0.3">
      <c r="A290" s="106"/>
      <c r="C290" s="107"/>
      <c r="E290" s="106"/>
      <c r="H290" s="106"/>
      <c r="J290" s="106"/>
    </row>
    <row r="291" spans="1:13" x14ac:dyDescent="0.3">
      <c r="A291" s="106"/>
      <c r="C291" s="107"/>
      <c r="E291" s="106"/>
      <c r="H291" s="106"/>
      <c r="J291" s="106"/>
    </row>
    <row r="292" spans="1:13" x14ac:dyDescent="0.3">
      <c r="A292" s="106"/>
      <c r="C292" s="107"/>
      <c r="E292" s="106"/>
      <c r="H292" s="106"/>
      <c r="J292" s="106"/>
    </row>
    <row r="293" spans="1:13" x14ac:dyDescent="0.3">
      <c r="A293" s="106"/>
      <c r="C293" s="107"/>
      <c r="E293" s="106"/>
      <c r="H293" s="106"/>
      <c r="J293" s="106"/>
    </row>
    <row r="294" spans="1:13" x14ac:dyDescent="0.3">
      <c r="A294" s="106"/>
      <c r="C294" s="107"/>
      <c r="E294" s="106"/>
      <c r="H294" s="106"/>
      <c r="J294" s="106"/>
    </row>
    <row r="295" spans="1:13" x14ac:dyDescent="0.3">
      <c r="A295" s="106"/>
      <c r="C295" s="107"/>
      <c r="E295" s="106"/>
      <c r="H295" s="106"/>
      <c r="J295" s="106"/>
    </row>
    <row r="296" spans="1:13" x14ac:dyDescent="0.3">
      <c r="A296" s="106"/>
      <c r="C296" s="107"/>
      <c r="E296" s="106"/>
      <c r="H296" s="106"/>
      <c r="J296" s="106"/>
    </row>
    <row r="297" spans="1:13" x14ac:dyDescent="0.3">
      <c r="A297" s="106"/>
      <c r="C297" s="107"/>
      <c r="E297" s="106"/>
      <c r="H297" s="106"/>
      <c r="J297" s="106"/>
    </row>
    <row r="298" spans="1:13" x14ac:dyDescent="0.3">
      <c r="A298" s="106"/>
      <c r="C298" s="107"/>
      <c r="E298" s="106"/>
      <c r="H298" s="106"/>
      <c r="J298" s="106"/>
    </row>
    <row r="299" spans="1:13" x14ac:dyDescent="0.3">
      <c r="A299" s="106"/>
      <c r="C299" s="107"/>
      <c r="E299" s="106"/>
      <c r="H299" s="106"/>
      <c r="J299" s="106"/>
    </row>
    <row r="300" spans="1:13" ht="15.6" x14ac:dyDescent="0.3">
      <c r="A300" s="9"/>
      <c r="C300" s="113"/>
      <c r="G300" s="113"/>
      <c r="H300" s="113"/>
      <c r="J300" s="113"/>
      <c r="M300" s="114"/>
    </row>
    <row r="301" spans="1:13" ht="15.6" x14ac:dyDescent="0.3">
      <c r="A301" s="9"/>
      <c r="C301" s="113"/>
      <c r="G301" s="113"/>
      <c r="H301" s="113"/>
      <c r="J301" s="113"/>
      <c r="M301" s="114"/>
    </row>
    <row r="302" spans="1:13" ht="15.6" x14ac:dyDescent="0.3">
      <c r="A302" s="9"/>
      <c r="C302" s="113"/>
      <c r="G302" s="113"/>
      <c r="H302" s="113"/>
      <c r="J302" s="113"/>
      <c r="M302" s="114"/>
    </row>
    <row r="303" spans="1:13" ht="15.6" x14ac:dyDescent="0.3">
      <c r="A303" s="9"/>
      <c r="C303" s="113"/>
      <c r="G303" s="113"/>
      <c r="H303" s="113"/>
      <c r="J303" s="113"/>
      <c r="M303" s="114"/>
    </row>
    <row r="304" spans="1:13" ht="15.6" x14ac:dyDescent="0.3">
      <c r="A304" s="9"/>
      <c r="C304" s="113"/>
      <c r="G304" s="113"/>
      <c r="H304" s="113"/>
      <c r="J304" s="113"/>
      <c r="M304" s="114"/>
    </row>
    <row r="305" spans="1:13" ht="15.6" x14ac:dyDescent="0.3">
      <c r="A305" s="9"/>
      <c r="C305" s="113"/>
      <c r="G305" s="113"/>
      <c r="H305" s="113"/>
      <c r="J305" s="113"/>
      <c r="M305" s="114"/>
    </row>
    <row r="306" spans="1:13" ht="15.6" x14ac:dyDescent="0.3">
      <c r="A306" s="9"/>
      <c r="C306" s="113"/>
      <c r="G306" s="113"/>
      <c r="H306" s="113"/>
      <c r="J306" s="113"/>
      <c r="M306" s="114"/>
    </row>
    <row r="307" spans="1:13" ht="15.6" x14ac:dyDescent="0.3">
      <c r="A307" s="9"/>
      <c r="C307" s="113"/>
      <c r="G307" s="113"/>
      <c r="H307" s="113"/>
      <c r="J307" s="113"/>
      <c r="M307" s="114"/>
    </row>
    <row r="308" spans="1:13" ht="15.6" x14ac:dyDescent="0.3">
      <c r="A308" s="9"/>
      <c r="C308" s="113"/>
      <c r="G308" s="113"/>
      <c r="H308" s="113"/>
      <c r="J308" s="113"/>
      <c r="M308" s="114"/>
    </row>
    <row r="309" spans="1:13" ht="15.6" x14ac:dyDescent="0.3">
      <c r="A309" s="9"/>
      <c r="C309" s="113"/>
      <c r="G309" s="113"/>
      <c r="H309" s="113"/>
      <c r="J309" s="113"/>
      <c r="M309" s="114"/>
    </row>
    <row r="310" spans="1:13" ht="15.6" x14ac:dyDescent="0.3">
      <c r="A310" s="9"/>
      <c r="C310" s="113"/>
      <c r="G310" s="113"/>
      <c r="H310" s="113"/>
      <c r="J310" s="113"/>
      <c r="M310" s="114"/>
    </row>
    <row r="311" spans="1:13" ht="15.6" x14ac:dyDescent="0.3">
      <c r="A311" s="9"/>
      <c r="C311" s="113"/>
      <c r="G311" s="113"/>
      <c r="H311" s="113"/>
      <c r="J311" s="113"/>
      <c r="M311" s="114"/>
    </row>
    <row r="312" spans="1:13" ht="15.6" x14ac:dyDescent="0.3">
      <c r="A312" s="9"/>
      <c r="C312" s="113"/>
      <c r="G312" s="113"/>
      <c r="H312" s="113"/>
      <c r="J312" s="113"/>
      <c r="M312" s="114"/>
    </row>
    <row r="313" spans="1:13" ht="15.6" x14ac:dyDescent="0.3">
      <c r="A313" s="9"/>
      <c r="C313" s="113"/>
      <c r="G313" s="113"/>
      <c r="H313" s="113"/>
      <c r="J313" s="113"/>
      <c r="M313" s="114"/>
    </row>
    <row r="314" spans="1:13" ht="15.6" x14ac:dyDescent="0.3">
      <c r="A314" s="9"/>
      <c r="C314" s="113"/>
      <c r="G314" s="113"/>
      <c r="H314" s="113"/>
      <c r="J314" s="113"/>
      <c r="M314" s="114"/>
    </row>
    <row r="315" spans="1:13" ht="15.6" x14ac:dyDescent="0.3">
      <c r="A315" s="9"/>
      <c r="C315" s="113"/>
      <c r="G315" s="9"/>
      <c r="H315" s="9"/>
      <c r="J315" s="9"/>
    </row>
    <row r="316" spans="1:13" ht="15.6" x14ac:dyDescent="0.3">
      <c r="A316" s="9"/>
      <c r="C316" s="113"/>
      <c r="G316" s="9"/>
      <c r="H316" s="9"/>
      <c r="J316" s="9"/>
    </row>
    <row r="317" spans="1:13" ht="15.6" x14ac:dyDescent="0.3">
      <c r="A317" s="9"/>
      <c r="C317" s="113"/>
      <c r="G317" s="9"/>
      <c r="H317" s="9"/>
      <c r="J317" s="9"/>
    </row>
    <row r="318" spans="1:13" ht="15.6" x14ac:dyDescent="0.3">
      <c r="A318" s="9"/>
      <c r="C318" s="113"/>
      <c r="G318" s="9"/>
      <c r="H318" s="9"/>
      <c r="J318" s="9"/>
    </row>
    <row r="319" spans="1:13" ht="15.6" x14ac:dyDescent="0.3">
      <c r="A319" s="9"/>
      <c r="C319" s="113"/>
      <c r="G319" s="9"/>
      <c r="H319" s="9"/>
      <c r="J319" s="9"/>
    </row>
    <row r="320" spans="1:13" ht="15.6" x14ac:dyDescent="0.3">
      <c r="A320" s="9"/>
      <c r="C320" s="113"/>
      <c r="G320" s="9"/>
      <c r="H320" s="9"/>
      <c r="J320" s="9"/>
    </row>
    <row r="321" spans="1:10" ht="15.6" x14ac:dyDescent="0.3">
      <c r="A321" s="9"/>
      <c r="C321" s="113"/>
      <c r="G321" s="9"/>
      <c r="H321" s="9"/>
      <c r="J321" s="9"/>
    </row>
    <row r="322" spans="1:10" ht="15.6" x14ac:dyDescent="0.3">
      <c r="A322" s="9"/>
      <c r="C322" s="113"/>
      <c r="G322" s="9"/>
      <c r="H322" s="9"/>
      <c r="J322" s="9"/>
    </row>
    <row r="323" spans="1:10" ht="15.6" x14ac:dyDescent="0.3">
      <c r="A323" s="9"/>
      <c r="C323" s="113"/>
      <c r="G323" s="9"/>
      <c r="H323" s="9"/>
      <c r="J323" s="9"/>
    </row>
    <row r="324" spans="1:10" ht="15.6" x14ac:dyDescent="0.3">
      <c r="A324" s="9"/>
      <c r="C324" s="113"/>
      <c r="G324" s="9"/>
      <c r="H324" s="9"/>
      <c r="J324" s="9"/>
    </row>
    <row r="325" spans="1:10" ht="15.6" x14ac:dyDescent="0.3">
      <c r="A325" s="9"/>
      <c r="C325" s="113"/>
      <c r="G325" s="9"/>
      <c r="H325" s="9"/>
      <c r="J325" s="9"/>
    </row>
    <row r="326" spans="1:10" ht="15.6" x14ac:dyDescent="0.3">
      <c r="A326" s="9"/>
      <c r="C326" s="113"/>
      <c r="G326" s="9"/>
      <c r="H326" s="9"/>
      <c r="J326" s="9"/>
    </row>
    <row r="327" spans="1:10" ht="15.6" x14ac:dyDescent="0.3">
      <c r="A327" s="9"/>
      <c r="C327" s="113"/>
      <c r="G327" s="9"/>
      <c r="H327" s="9"/>
      <c r="J327" s="9"/>
    </row>
    <row r="328" spans="1:10" ht="15.6" x14ac:dyDescent="0.3">
      <c r="A328" s="9"/>
      <c r="C328" s="113"/>
      <c r="G328" s="9"/>
      <c r="H328" s="9"/>
      <c r="J328" s="9"/>
    </row>
    <row r="329" spans="1:10" ht="15.6" x14ac:dyDescent="0.3">
      <c r="A329" s="9"/>
      <c r="C329" s="113"/>
      <c r="G329" s="9"/>
      <c r="H329" s="9"/>
      <c r="J329" s="9"/>
    </row>
    <row r="330" spans="1:10" ht="15.6" x14ac:dyDescent="0.3">
      <c r="A330" s="9"/>
      <c r="C330" s="113"/>
      <c r="G330" s="9"/>
      <c r="H330" s="9"/>
      <c r="J330" s="9"/>
    </row>
    <row r="331" spans="1:10" ht="15.6" x14ac:dyDescent="0.3">
      <c r="A331" s="9"/>
      <c r="C331" s="113"/>
      <c r="G331" s="9"/>
      <c r="H331" s="9"/>
      <c r="J331" s="9"/>
    </row>
    <row r="332" spans="1:10" ht="15.6" x14ac:dyDescent="0.3">
      <c r="A332" s="9"/>
      <c r="C332" s="113"/>
      <c r="G332" s="9"/>
      <c r="H332" s="9"/>
      <c r="J332" s="9"/>
    </row>
    <row r="333" spans="1:10" ht="15.6" x14ac:dyDescent="0.3">
      <c r="A333" s="9"/>
      <c r="C333" s="113"/>
      <c r="G333" s="9"/>
      <c r="H333" s="9"/>
      <c r="J333" s="9"/>
    </row>
    <row r="334" spans="1:10" ht="15.6" x14ac:dyDescent="0.3">
      <c r="A334" s="9"/>
      <c r="C334" s="113"/>
      <c r="G334" s="9"/>
      <c r="H334" s="9"/>
      <c r="J334" s="9"/>
    </row>
    <row r="335" spans="1:10" ht="15.6" x14ac:dyDescent="0.3">
      <c r="A335" s="9"/>
      <c r="C335" s="113"/>
      <c r="G335" s="9"/>
      <c r="H335" s="9"/>
      <c r="J335" s="9"/>
    </row>
    <row r="336" spans="1:10" ht="15.6" x14ac:dyDescent="0.3">
      <c r="A336" s="9"/>
      <c r="C336" s="113"/>
      <c r="G336" s="9"/>
      <c r="H336" s="9"/>
      <c r="J336" s="9"/>
    </row>
    <row r="337" spans="1:13" ht="15.6" x14ac:dyDescent="0.3">
      <c r="A337" s="9"/>
      <c r="C337" s="113"/>
      <c r="G337" s="9"/>
      <c r="H337" s="9"/>
      <c r="J337" s="9"/>
    </row>
    <row r="338" spans="1:13" ht="15.6" x14ac:dyDescent="0.3">
      <c r="A338" s="9"/>
      <c r="C338" s="113"/>
      <c r="G338" s="9"/>
      <c r="H338" s="9"/>
      <c r="J338" s="9"/>
    </row>
    <row r="339" spans="1:13" ht="15.6" x14ac:dyDescent="0.3">
      <c r="A339" s="9"/>
      <c r="C339" s="113"/>
      <c r="G339" s="9"/>
      <c r="H339" s="9"/>
      <c r="J339" s="9"/>
    </row>
    <row r="340" spans="1:13" ht="15.6" x14ac:dyDescent="0.3">
      <c r="A340" s="9"/>
      <c r="C340" s="113"/>
      <c r="G340" s="9"/>
      <c r="H340" s="9"/>
      <c r="J340" s="9"/>
    </row>
    <row r="341" spans="1:13" ht="15.6" x14ac:dyDescent="0.3">
      <c r="A341" s="9"/>
      <c r="C341" s="113"/>
      <c r="G341" s="9"/>
      <c r="H341" s="9"/>
      <c r="J341" s="9"/>
    </row>
    <row r="342" spans="1:13" ht="15.6" x14ac:dyDescent="0.3">
      <c r="A342" s="9"/>
      <c r="C342" s="113"/>
      <c r="G342" s="9"/>
      <c r="H342" s="9"/>
      <c r="J342" s="9"/>
    </row>
    <row r="343" spans="1:13" ht="15.6" x14ac:dyDescent="0.3">
      <c r="A343" s="9"/>
      <c r="C343" s="113"/>
      <c r="G343" s="9"/>
      <c r="H343" s="9"/>
      <c r="J343" s="9"/>
    </row>
    <row r="344" spans="1:13" ht="15.6" x14ac:dyDescent="0.3">
      <c r="A344" s="9"/>
      <c r="C344" s="113"/>
      <c r="G344" s="9"/>
      <c r="H344" s="9"/>
      <c r="J344" s="9"/>
    </row>
    <row r="345" spans="1:13" ht="15.6" x14ac:dyDescent="0.3">
      <c r="A345" s="9"/>
      <c r="C345" s="113"/>
      <c r="G345" s="9"/>
      <c r="H345" s="9"/>
      <c r="J345" s="9"/>
    </row>
    <row r="346" spans="1:13" ht="15.6" x14ac:dyDescent="0.3">
      <c r="A346" s="9"/>
      <c r="C346" s="113"/>
      <c r="G346" s="9"/>
      <c r="H346" s="9"/>
      <c r="J346" s="9"/>
    </row>
    <row r="347" spans="1:13" x14ac:dyDescent="0.3">
      <c r="A347" s="106"/>
      <c r="C347" s="107"/>
      <c r="M347" s="109"/>
    </row>
    <row r="348" spans="1:13" x14ac:dyDescent="0.3">
      <c r="A348" s="106"/>
      <c r="C348" s="107"/>
    </row>
    <row r="349" spans="1:13" x14ac:dyDescent="0.3">
      <c r="A349" s="106"/>
      <c r="C349" s="107"/>
    </row>
    <row r="350" spans="1:13" x14ac:dyDescent="0.3">
      <c r="A350" s="106"/>
      <c r="C350" s="107"/>
    </row>
    <row r="351" spans="1:13" x14ac:dyDescent="0.3">
      <c r="A351" s="106"/>
      <c r="C351" s="107"/>
    </row>
    <row r="352" spans="1:13" x14ac:dyDescent="0.3">
      <c r="A352" s="106"/>
      <c r="C352" s="107"/>
    </row>
    <row r="353" spans="1:3" x14ac:dyDescent="0.3">
      <c r="A353" s="106"/>
      <c r="C353" s="107"/>
    </row>
    <row r="354" spans="1:3" x14ac:dyDescent="0.3">
      <c r="A354" s="106"/>
      <c r="C354" s="107"/>
    </row>
    <row r="355" spans="1:3" x14ac:dyDescent="0.3">
      <c r="A355" s="106"/>
      <c r="C355" s="107"/>
    </row>
    <row r="356" spans="1:3" x14ac:dyDescent="0.3">
      <c r="A356" s="106"/>
      <c r="C356" s="107"/>
    </row>
    <row r="357" spans="1:3" x14ac:dyDescent="0.3">
      <c r="A357" s="106"/>
      <c r="C357" s="107"/>
    </row>
    <row r="358" spans="1:3" x14ac:dyDescent="0.3">
      <c r="A358" s="106"/>
      <c r="C358" s="107"/>
    </row>
    <row r="359" spans="1:3" x14ac:dyDescent="0.3">
      <c r="A359" s="106"/>
      <c r="C359" s="107"/>
    </row>
    <row r="360" spans="1:3" x14ac:dyDescent="0.3">
      <c r="A360" s="106"/>
      <c r="C360" s="107"/>
    </row>
    <row r="361" spans="1:3" x14ac:dyDescent="0.3">
      <c r="A361" s="106"/>
      <c r="C361" s="107"/>
    </row>
    <row r="362" spans="1:3" x14ac:dyDescent="0.3">
      <c r="A362" s="106"/>
      <c r="C362" s="107"/>
    </row>
    <row r="363" spans="1:3" x14ac:dyDescent="0.3">
      <c r="A363" s="106"/>
      <c r="C363" s="107"/>
    </row>
    <row r="364" spans="1:3" x14ac:dyDescent="0.3">
      <c r="A364" s="106"/>
      <c r="C364" s="107"/>
    </row>
    <row r="365" spans="1:3" x14ac:dyDescent="0.3">
      <c r="A365" s="106"/>
      <c r="C365" s="107"/>
    </row>
    <row r="366" spans="1:3" x14ac:dyDescent="0.3">
      <c r="A366" s="106"/>
      <c r="C366" s="107"/>
    </row>
    <row r="367" spans="1:3" x14ac:dyDescent="0.3">
      <c r="A367" s="106"/>
      <c r="C367" s="107"/>
    </row>
    <row r="368" spans="1:3" x14ac:dyDescent="0.3">
      <c r="A368" s="106"/>
      <c r="C368" s="107"/>
    </row>
    <row r="369" spans="1:3" x14ac:dyDescent="0.3">
      <c r="A369" s="106"/>
      <c r="C369" s="107"/>
    </row>
    <row r="370" spans="1:3" x14ac:dyDescent="0.3">
      <c r="A370" s="106"/>
      <c r="C370" s="107"/>
    </row>
    <row r="371" spans="1:3" x14ac:dyDescent="0.3">
      <c r="A371" s="106"/>
      <c r="C371" s="107"/>
    </row>
    <row r="372" spans="1:3" x14ac:dyDescent="0.3">
      <c r="A372" s="106"/>
      <c r="C372" s="107"/>
    </row>
    <row r="373" spans="1:3" x14ac:dyDescent="0.3">
      <c r="A373" s="106"/>
      <c r="C373" s="107"/>
    </row>
    <row r="374" spans="1:3" x14ac:dyDescent="0.3">
      <c r="A374" s="106"/>
      <c r="C374" s="107"/>
    </row>
    <row r="375" spans="1:3" x14ac:dyDescent="0.3">
      <c r="A375" s="106"/>
      <c r="C375" s="107"/>
    </row>
    <row r="376" spans="1:3" x14ac:dyDescent="0.3">
      <c r="A376" s="106"/>
      <c r="C376" s="107"/>
    </row>
    <row r="377" spans="1:3" x14ac:dyDescent="0.3">
      <c r="A377" s="106"/>
      <c r="C377" s="107"/>
    </row>
    <row r="378" spans="1:3" x14ac:dyDescent="0.3">
      <c r="A378" s="106"/>
      <c r="C378" s="107"/>
    </row>
    <row r="379" spans="1:3" x14ac:dyDescent="0.3">
      <c r="A379" s="106"/>
      <c r="C379" s="107"/>
    </row>
    <row r="380" spans="1:3" x14ac:dyDescent="0.3">
      <c r="A380" s="106"/>
      <c r="C380" s="107"/>
    </row>
    <row r="381" spans="1:3" x14ac:dyDescent="0.3">
      <c r="A381" s="106"/>
      <c r="C381" s="107"/>
    </row>
    <row r="382" spans="1:3" x14ac:dyDescent="0.3">
      <c r="A382" s="106"/>
      <c r="C382" s="107"/>
    </row>
    <row r="383" spans="1:3" x14ac:dyDescent="0.3">
      <c r="A383" s="106"/>
      <c r="C383" s="107"/>
    </row>
    <row r="384" spans="1:3" x14ac:dyDescent="0.3">
      <c r="A384" s="106"/>
      <c r="C384" s="107"/>
    </row>
    <row r="385" spans="1:3" x14ac:dyDescent="0.3">
      <c r="A385" s="106"/>
      <c r="C385" s="107"/>
    </row>
    <row r="386" spans="1:3" x14ac:dyDescent="0.3">
      <c r="A386" s="106"/>
      <c r="C386" s="107"/>
    </row>
    <row r="387" spans="1:3" x14ac:dyDescent="0.3">
      <c r="A387" s="106"/>
      <c r="C387" s="107"/>
    </row>
    <row r="388" spans="1:3" x14ac:dyDescent="0.3">
      <c r="A388" s="106"/>
      <c r="C388" s="107"/>
    </row>
    <row r="389" spans="1:3" x14ac:dyDescent="0.3">
      <c r="A389" s="106"/>
      <c r="C389" s="107"/>
    </row>
    <row r="390" spans="1:3" x14ac:dyDescent="0.3">
      <c r="A390" s="106"/>
      <c r="C390" s="107"/>
    </row>
    <row r="391" spans="1:3" x14ac:dyDescent="0.3">
      <c r="A391" s="106"/>
      <c r="C391" s="107"/>
    </row>
    <row r="392" spans="1:3" x14ac:dyDescent="0.3">
      <c r="A392" s="106"/>
      <c r="C392" s="107"/>
    </row>
    <row r="393" spans="1:3" x14ac:dyDescent="0.3">
      <c r="A393" s="106"/>
      <c r="C393" s="107"/>
    </row>
    <row r="394" spans="1:3" x14ac:dyDescent="0.3">
      <c r="A394" s="106"/>
      <c r="C394" s="107"/>
    </row>
    <row r="395" spans="1:3" x14ac:dyDescent="0.3">
      <c r="A395" s="106"/>
      <c r="C395" s="107"/>
    </row>
    <row r="396" spans="1:3" x14ac:dyDescent="0.3">
      <c r="A396" s="106"/>
      <c r="C396" s="107"/>
    </row>
    <row r="397" spans="1:3" x14ac:dyDescent="0.3">
      <c r="A397" s="106"/>
      <c r="C397" s="107"/>
    </row>
    <row r="398" spans="1:3" x14ac:dyDescent="0.3">
      <c r="A398" s="106"/>
      <c r="C398" s="107"/>
    </row>
    <row r="399" spans="1:3" x14ac:dyDescent="0.3">
      <c r="A399" s="106"/>
      <c r="C399" s="107"/>
    </row>
    <row r="400" spans="1:3" x14ac:dyDescent="0.3">
      <c r="A400" s="106"/>
      <c r="C400" s="107"/>
    </row>
    <row r="401" spans="1:3" x14ac:dyDescent="0.3">
      <c r="A401" s="106"/>
      <c r="C401" s="107"/>
    </row>
    <row r="402" spans="1:3" x14ac:dyDescent="0.3">
      <c r="A402" s="106"/>
      <c r="C402" s="107"/>
    </row>
    <row r="403" spans="1:3" x14ac:dyDescent="0.3">
      <c r="A403" s="106"/>
      <c r="C403" s="107"/>
    </row>
    <row r="404" spans="1:3" x14ac:dyDescent="0.3">
      <c r="A404" s="106"/>
      <c r="C404" s="107"/>
    </row>
    <row r="405" spans="1:3" x14ac:dyDescent="0.3">
      <c r="A405" s="106"/>
      <c r="C405" s="107"/>
    </row>
    <row r="406" spans="1:3" x14ac:dyDescent="0.3">
      <c r="A406" s="106"/>
      <c r="C406" s="107"/>
    </row>
    <row r="407" spans="1:3" x14ac:dyDescent="0.3">
      <c r="A407" s="106"/>
      <c r="C407" s="107"/>
    </row>
    <row r="408" spans="1:3" x14ac:dyDescent="0.3">
      <c r="A408" s="106"/>
      <c r="C408" s="107"/>
    </row>
    <row r="409" spans="1:3" x14ac:dyDescent="0.3">
      <c r="A409" s="106"/>
      <c r="C409" s="107"/>
    </row>
    <row r="410" spans="1:3" x14ac:dyDescent="0.3">
      <c r="A410" s="106"/>
      <c r="C410" s="107"/>
    </row>
    <row r="411" spans="1:3" x14ac:dyDescent="0.3">
      <c r="A411" s="106"/>
      <c r="C411" s="107"/>
    </row>
    <row r="412" spans="1:3" x14ac:dyDescent="0.3">
      <c r="A412" s="106"/>
      <c r="C412" s="107"/>
    </row>
    <row r="413" spans="1:3" x14ac:dyDescent="0.3">
      <c r="A413" s="106"/>
      <c r="C413" s="107"/>
    </row>
    <row r="414" spans="1:3" x14ac:dyDescent="0.3">
      <c r="A414" s="106"/>
      <c r="C414" s="107"/>
    </row>
    <row r="415" spans="1:3" x14ac:dyDescent="0.3">
      <c r="A415" s="106"/>
      <c r="C415" s="107"/>
    </row>
    <row r="416" spans="1:3" x14ac:dyDescent="0.3">
      <c r="A416" s="106"/>
      <c r="C416" s="107"/>
    </row>
    <row r="417" spans="1:13" x14ac:dyDescent="0.3">
      <c r="A417" s="106"/>
      <c r="C417" s="107"/>
    </row>
    <row r="418" spans="1:13" x14ac:dyDescent="0.3">
      <c r="A418" s="106"/>
      <c r="C418" s="107"/>
    </row>
    <row r="419" spans="1:13" x14ac:dyDescent="0.3">
      <c r="A419" s="106"/>
      <c r="C419" s="107"/>
    </row>
    <row r="420" spans="1:13" x14ac:dyDescent="0.3">
      <c r="A420" s="106"/>
      <c r="C420" s="107"/>
    </row>
    <row r="421" spans="1:13" x14ac:dyDescent="0.3">
      <c r="A421" s="106"/>
      <c r="C421" s="107"/>
      <c r="M421" s="109"/>
    </row>
  </sheetData>
  <conditionalFormatting sqref="H1">
    <cfRule type="cellIs" dxfId="2" priority="3" operator="lessThan">
      <formula>0</formula>
    </cfRule>
  </conditionalFormatting>
  <conditionalFormatting sqref="K1:L1">
    <cfRule type="cellIs" dxfId="1" priority="2" operator="lessThan">
      <formula>0</formula>
    </cfRule>
  </conditionalFormatting>
  <conditionalFormatting sqref="N2:N182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AGARWAL</dc:creator>
  <cp:lastModifiedBy>Jacob Alex</cp:lastModifiedBy>
  <dcterms:created xsi:type="dcterms:W3CDTF">2023-08-08T20:05:27Z</dcterms:created>
  <dcterms:modified xsi:type="dcterms:W3CDTF">2025-07-03T03:51:20Z</dcterms:modified>
</cp:coreProperties>
</file>